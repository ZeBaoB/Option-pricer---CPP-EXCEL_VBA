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orgio\Documents\GitHub\Project-Cpp\"/>
    </mc:Choice>
  </mc:AlternateContent>
  <xr:revisionPtr revIDLastSave="0" documentId="13_ncr:1_{0E18BCD7-98A8-4092-A213-DADF5B0097D6}" xr6:coauthVersionLast="47" xr6:coauthVersionMax="47" xr10:uidLastSave="{00000000-0000-0000-0000-000000000000}"/>
  <bookViews>
    <workbookView xWindow="5088" yWindow="3396" windowWidth="17280" windowHeight="8964" tabRatio="460" xr2:uid="{00000000-000D-0000-FFFF-FFFF00000000}"/>
  </bookViews>
  <sheets>
    <sheet name="Feuil1" sheetId="1" r:id="rId1"/>
  </sheets>
  <functionGroups builtInGroupCount="19"/>
  <definedNames>
    <definedName name="_xleta.IF" hidden="1" xlm="1">#NAME?</definedName>
    <definedName name="_xleta.LOG" hidden="1" xlm="1">#NAME?</definedName>
    <definedName name="_xleta.NORM.S.DIS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" i="1" l="1"/>
  <c r="G26" i="1" s="1"/>
  <c r="I22" i="1" l="1"/>
  <c r="G25" i="1" s="1"/>
  <c r="G21" i="1"/>
  <c r="I23" i="1" s="1"/>
  <c r="G22" i="1"/>
  <c r="G23" i="1"/>
  <c r="G24" i="1" l="1"/>
</calcChain>
</file>

<file path=xl/sharedStrings.xml><?xml version="1.0" encoding="utf-8"?>
<sst xmlns="http://schemas.openxmlformats.org/spreadsheetml/2006/main" count="50" uniqueCount="39">
  <si>
    <t>Inputs</t>
  </si>
  <si>
    <t>Contract type :</t>
  </si>
  <si>
    <t>Pricing vanilla options using a finite difference method</t>
  </si>
  <si>
    <t>Exercice type 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</si>
  <si>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</si>
  <si>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</si>
  <si>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</si>
  <si>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</si>
  <si>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</si>
  <si>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</si>
  <si>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</si>
  <si>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</si>
  <si>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</si>
  <si>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</si>
  <si>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Time mesh parameters :</t>
  </si>
  <si>
    <t>Spot mesh parameters :</t>
  </si>
  <si>
    <t>Time :</t>
  </si>
  <si>
    <t>Option maturity (T) :</t>
  </si>
  <si>
    <t>Option strike (K) :</t>
  </si>
  <si>
    <t>Computation date (T0) :</t>
  </si>
  <si>
    <t>Current price of the underlying (S0) :</t>
  </si>
  <si>
    <r>
      <t>Volatility (</t>
    </r>
    <r>
      <rPr>
        <sz val="11"/>
        <color theme="1"/>
        <rFont val="Aptos Narrow"/>
        <family val="2"/>
      </rPr>
      <t>σ</t>
    </r>
    <r>
      <rPr>
        <sz val="11"/>
        <color theme="1"/>
        <rFont val="Calibri"/>
        <family val="2"/>
        <scheme val="minor"/>
      </rPr>
      <t>) :</t>
    </r>
  </si>
  <si>
    <t>Outputs</t>
  </si>
  <si>
    <t>Theoretical price P :</t>
  </si>
  <si>
    <r>
      <t>Option gamma (</t>
    </r>
    <r>
      <rPr>
        <sz val="11"/>
        <color theme="1"/>
        <rFont val="Aptos Narrow"/>
        <family val="2"/>
      </rPr>
      <t>Γ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</si>
  <si>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delta (</t>
    </r>
    <r>
      <rPr>
        <sz val="11"/>
        <color theme="1"/>
        <rFont val="Aptos Narrow"/>
        <family val="2"/>
      </rPr>
      <t>Δ)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</si>
  <si>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theta (</t>
    </r>
    <r>
      <rPr>
        <sz val="11"/>
        <color theme="1"/>
        <rFont val="Aptos Narrow"/>
        <family val="2"/>
      </rPr>
      <t>θ) :</t>
    </r>
  </si>
  <si>
    <r>
      <t>Option vega (</t>
    </r>
    <r>
      <rPr>
        <sz val="11"/>
        <color theme="1"/>
        <rFont val="Aptos Narrow"/>
        <family val="2"/>
      </rPr>
      <t>ν</t>
    </r>
    <r>
      <rPr>
        <sz val="11"/>
        <color theme="1"/>
        <rFont val="Calibri"/>
        <family val="2"/>
        <scheme val="minor"/>
      </rPr>
      <t>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</si>
  <si>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r>
      <t>Option rho (ρ)</t>
    </r>
    <r>
      <rPr>
        <sz val="14.3"/>
        <color theme="1"/>
        <rFont val="Calibri"/>
        <family val="2"/>
      </rPr>
      <t xml:space="preserve"> :</t>
    </r>
    <r>
      <rPr>
        <sz val="11"/>
        <color theme="1"/>
        <rFont val="Calibri"/>
        <family val="2"/>
        <scheme val="minor"/>
      </rPr>
      <t xml:space="preserve"> </t>
    </r>
  </si>
  <si>
    <t>Value of r :</t>
  </si>
  <si>
    <t>Risk free interest rate (r) table :</t>
  </si>
  <si>
    <t>Estimation</t>
  </si>
  <si>
    <t>Call</t>
  </si>
  <si>
    <t>d1:</t>
  </si>
  <si>
    <t>d2:</t>
  </si>
  <si>
    <t>Price:</t>
  </si>
  <si>
    <t>B&amp;S Results</t>
  </si>
  <si>
    <t>Error in pricing:</t>
  </si>
  <si>
    <t>American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</si>
</sst>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_-* #,##0.000000_-;\-* #,##0.000000_-;_-* &quot;-&quot;??_-;_-@_-"/>
    <numFmt numFmtId="166" formatCode="0.000"/>
    <numFmt numFmtId="167" formatCode="_-* #,##0.00\ _€_-;\-* #,##0.00\ _€_-;_-* &quot;-&quot;??\ _€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Aptos Narrow"/>
      <family val="2"/>
    </font>
    <font>
      <sz val="14.3"/>
      <color theme="1"/>
      <name val="Calibri"/>
      <family val="2"/>
    </font>
    <font>
      <b/>
      <sz val="16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6">
    <xf numFmtId="0" fontId="0" fillId="0" borderId="0" xfId="0"/>
    <xf numFmtId="0" fontId="0" fillId="2" borderId="0" xfId="0" applyFill="1"/>
    <xf numFmtId="0" fontId="0" fillId="0" borderId="3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1" xfId="0" applyBorder="1"/>
    <xf numFmtId="0" fontId="2" fillId="4" borderId="0" xfId="0" applyFont="1" applyFill="1"/>
    <xf numFmtId="0" fontId="0" fillId="4" borderId="0" xfId="0" applyFill="1"/>
    <xf numFmtId="0" fontId="0" fillId="4" borderId="11" xfId="0" applyFill="1" applyBorder="1"/>
    <xf numFmtId="0" fontId="0" fillId="0" borderId="1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6" borderId="10" xfId="0" applyFill="1" applyBorder="1"/>
    <xf numFmtId="0" fontId="0" fillId="6" borderId="0" xfId="0" applyFill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2" fillId="5" borderId="0" xfId="0" applyFont="1" applyFill="1"/>
    <xf numFmtId="0" fontId="0" fillId="5" borderId="0" xfId="0" applyFill="1"/>
    <xf numFmtId="0" fontId="0" fillId="5" borderId="11" xfId="0" applyFill="1" applyBorder="1"/>
    <xf numFmtId="0" fontId="2" fillId="7" borderId="7" xfId="0" applyFont="1" applyFill="1" applyBorder="1"/>
    <xf numFmtId="0" fontId="2" fillId="7" borderId="8" xfId="0" applyFont="1" applyFill="1" applyBorder="1"/>
    <xf numFmtId="0" fontId="0" fillId="7" borderId="8" xfId="0" applyFill="1" applyBorder="1"/>
    <xf numFmtId="0" fontId="0" fillId="7" borderId="9" xfId="0" applyFill="1" applyBorder="1"/>
    <xf numFmtId="0" fontId="0" fillId="0" borderId="0" xfId="0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Fill="1" applyBorder="1" applyAlignment="1" applyProtection="1">
      <protection locked="0"/>
    </xf>
    <xf numFmtId="10" fontId="0" fillId="0" borderId="1" xfId="0" applyNumberFormat="1" applyBorder="1" applyProtection="1">
      <protection locked="0"/>
    </xf>
    <xf numFmtId="10" fontId="0" fillId="0" borderId="2" xfId="0" applyNumberFormat="1" applyBorder="1" applyProtection="1">
      <protection locked="0"/>
    </xf>
    <xf numFmtId="0" fontId="0" fillId="5" borderId="0" xfId="0" applyFill="1" applyAlignment="1">
      <alignment horizontal="right"/>
    </xf>
    <xf numFmtId="9" fontId="0" fillId="0" borderId="0" xfId="0" applyNumberFormat="1" applyProtection="1">
      <protection locked="0"/>
    </xf>
    <xf numFmtId="165" fontId="0" fillId="0" borderId="0" xfId="1" applyNumberFormat="1" applyFont="1"/>
    <xf numFmtId="0" fontId="6" fillId="2" borderId="0" xfId="0" applyFont="1" applyFill="1" applyAlignment="1">
      <alignment vertical="center"/>
    </xf>
    <xf numFmtId="14" fontId="0" fillId="0" borderId="0" xfId="0" applyNumberFormat="1"/>
    <xf numFmtId="166" fontId="0" fillId="0" borderId="0" xfId="0" applyNumberFormat="1"/>
    <xf numFmtId="14" fontId="0" fillId="0" borderId="4" xfId="0" applyNumberFormat="1" applyBorder="1" applyProtection="1">
      <protection locked="0"/>
    </xf>
    <xf numFmtId="14" fontId="0" fillId="0" borderId="5" xfId="0" applyNumberFormat="1" applyBorder="1" applyProtection="1">
      <protection locked="0"/>
    </xf>
    <xf numFmtId="167" fontId="0" fillId="0" borderId="0" xfId="0" applyNumberFormat="1"/>
    <xf numFmtId="0" fontId="0" fillId="8" borderId="0" xfId="0" applyFill="1" applyAlignment="1">
      <alignment horizontal="right"/>
    </xf>
    <xf numFmtId="11" fontId="0" fillId="0" borderId="0" xfId="0" applyNumberFormat="1"/>
    <xf numFmtId="166" fontId="0" fillId="0" borderId="0" xfId="0" applyNumberFormat="1" applyAlignment="1">
      <alignment horizontal="right"/>
    </xf>
    <xf numFmtId="166" fontId="0" fillId="8" borderId="0" xfId="0" applyNumberFormat="1" applyFill="1"/>
    <xf numFmtId="0" fontId="0" fillId="2" borderId="0" xfId="0" applyFill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0" xfId="0" applyAlignment="1">
      <alignment horizontal="right" vertical="center"/>
    </xf>
  </cellXfs>
  <cellStyles count="2"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4.5747085223099074E-2"/>
          <c:y val="0.13903854166666665"/>
          <c:w val="0.91757818981135564"/>
          <c:h val="0.69699340277777777"/>
        </c:manualLayout>
      </c:layout>
      <c:scatterChart>
        <c:scatterStyle val="smoothMarker"/>
        <c:varyColors val="0"/>
        <c:ser>
          <c:idx val="0"/>
          <c:order val="0"/>
          <c:tx>
            <c:v>Option price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96"/>
              <c:pt idx="0">
                <c:v>0</c:v>
              </c:pt>
              <c:pt idx="1">
                <c:v>6.3E-3</c:v>
              </c:pt>
              <c:pt idx="2">
                <c:v>1.2500000000000001E-2</c:v>
              </c:pt>
              <c:pt idx="3">
                <c:v>1.8800000000000001E-2</c:v>
              </c:pt>
              <c:pt idx="4">
                <c:v>2.5100000000000001E-2</c:v>
              </c:pt>
              <c:pt idx="5">
                <c:v>3.1300000000000001E-2</c:v>
              </c:pt>
              <c:pt idx="6">
                <c:v>3.7600000000000001E-2</c:v>
              </c:pt>
              <c:pt idx="7">
                <c:v>4.3900000000000002E-2</c:v>
              </c:pt>
              <c:pt idx="8">
                <c:v>5.0099999999999999E-2</c:v>
              </c:pt>
              <c:pt idx="9">
                <c:v>5.6399999999999999E-2</c:v>
              </c:pt>
              <c:pt idx="10">
                <c:v>6.2700000000000006E-2</c:v>
              </c:pt>
              <c:pt idx="11">
                <c:v>6.8900000000000003E-2</c:v>
              </c:pt>
              <c:pt idx="12">
                <c:v>7.5200000000000003E-2</c:v>
              </c:pt>
              <c:pt idx="13">
                <c:v>8.1500000000000003E-2</c:v>
              </c:pt>
              <c:pt idx="14">
                <c:v>8.77E-2</c:v>
              </c:pt>
              <c:pt idx="15">
                <c:v>9.4E-2</c:v>
              </c:pt>
              <c:pt idx="16">
                <c:v>0.1003</c:v>
              </c:pt>
              <c:pt idx="17">
                <c:v>0.1065</c:v>
              </c:pt>
              <c:pt idx="18">
                <c:v>0.1128</c:v>
              </c:pt>
              <c:pt idx="19">
                <c:v>0.11899999999999999</c:v>
              </c:pt>
              <c:pt idx="20">
                <c:v>0.12529999999999999</c:v>
              </c:pt>
              <c:pt idx="21">
                <c:v>0.13159999999999999</c:v>
              </c:pt>
              <c:pt idx="22">
                <c:v>0.13780000000000001</c:v>
              </c:pt>
              <c:pt idx="23">
                <c:v>0.14410000000000001</c:v>
              </c:pt>
              <c:pt idx="24">
                <c:v>0.15040000000000001</c:v>
              </c:pt>
              <c:pt idx="25">
                <c:v>0.15659999999999999</c:v>
              </c:pt>
              <c:pt idx="26">
                <c:v>0.16289999999999999</c:v>
              </c:pt>
              <c:pt idx="27">
                <c:v>0.16919999999999999</c:v>
              </c:pt>
              <c:pt idx="28">
                <c:v>0.1754</c:v>
              </c:pt>
              <c:pt idx="29">
                <c:v>0.1817</c:v>
              </c:pt>
              <c:pt idx="30">
                <c:v>0.188</c:v>
              </c:pt>
              <c:pt idx="31">
                <c:v>0.19420000000000001</c:v>
              </c:pt>
              <c:pt idx="32">
                <c:v>0.20050000000000001</c:v>
              </c:pt>
              <c:pt idx="33">
                <c:v>0.20680000000000001</c:v>
              </c:pt>
              <c:pt idx="34">
                <c:v>0.21299999999999999</c:v>
              </c:pt>
              <c:pt idx="35">
                <c:v>0.21929999999999999</c:v>
              </c:pt>
              <c:pt idx="36">
                <c:v>0.22559999999999999</c:v>
              </c:pt>
              <c:pt idx="37">
                <c:v>0.23180000000000001</c:v>
              </c:pt>
              <c:pt idx="38">
                <c:v>0.23810000000000001</c:v>
              </c:pt>
              <c:pt idx="39">
                <c:v>0.24440000000000001</c:v>
              </c:pt>
              <c:pt idx="40">
                <c:v>0.25059999999999999</c:v>
              </c:pt>
              <c:pt idx="41">
                <c:v>0.25690000000000002</c:v>
              </c:pt>
              <c:pt idx="42">
                <c:v>0.26319999999999999</c:v>
              </c:pt>
              <c:pt idx="43">
                <c:v>0.26939999999999997</c:v>
              </c:pt>
              <c:pt idx="44">
                <c:v>0.2757</c:v>
              </c:pt>
              <c:pt idx="45">
                <c:v>0.28199999999999997</c:v>
              </c:pt>
              <c:pt idx="46">
                <c:v>0.28820000000000001</c:v>
              </c:pt>
              <c:pt idx="47">
                <c:v>0.29449999999999998</c:v>
              </c:pt>
              <c:pt idx="48">
                <c:v>0.30080000000000001</c:v>
              </c:pt>
              <c:pt idx="49">
                <c:v>0.307</c:v>
              </c:pt>
              <c:pt idx="50">
                <c:v>0.31330000000000002</c:v>
              </c:pt>
              <c:pt idx="51">
                <c:v>0.31950000000000001</c:v>
              </c:pt>
              <c:pt idx="52">
                <c:v>0.32579999999999998</c:v>
              </c:pt>
              <c:pt idx="53">
                <c:v>0.33210000000000001</c:v>
              </c:pt>
              <c:pt idx="54">
                <c:v>0.33829999999999999</c:v>
              </c:pt>
              <c:pt idx="55">
                <c:v>0.34460000000000002</c:v>
              </c:pt>
              <c:pt idx="56">
                <c:v>0.35089999999999999</c:v>
              </c:pt>
              <c:pt idx="57">
                <c:v>0.35709999999999997</c:v>
              </c:pt>
              <c:pt idx="58">
                <c:v>0.3634</c:v>
              </c:pt>
              <c:pt idx="59">
                <c:v>0.36969999999999997</c:v>
              </c:pt>
              <c:pt idx="60">
                <c:v>0.37590000000000001</c:v>
              </c:pt>
              <c:pt idx="61">
                <c:v>0.38219999999999998</c:v>
              </c:pt>
              <c:pt idx="62">
                <c:v>0.38850000000000001</c:v>
              </c:pt>
              <c:pt idx="63">
                <c:v>0.3947</c:v>
              </c:pt>
              <c:pt idx="64">
                <c:v>0.40100000000000002</c:v>
              </c:pt>
              <c:pt idx="65">
                <c:v>0.4073</c:v>
              </c:pt>
              <c:pt idx="66">
                <c:v>0.41349999999999998</c:v>
              </c:pt>
              <c:pt idx="67">
                <c:v>0.41980000000000001</c:v>
              </c:pt>
              <c:pt idx="68">
                <c:v>0.42609999999999998</c:v>
              </c:pt>
              <c:pt idx="69">
                <c:v>0.43230000000000002</c:v>
              </c:pt>
              <c:pt idx="70">
                <c:v>0.43859999999999999</c:v>
              </c:pt>
              <c:pt idx="71">
                <c:v>0.44490000000000002</c:v>
              </c:pt>
              <c:pt idx="72">
                <c:v>0.4511</c:v>
              </c:pt>
              <c:pt idx="73">
                <c:v>0.45739999999999997</c:v>
              </c:pt>
              <c:pt idx="74">
                <c:v>0.4637</c:v>
              </c:pt>
              <c:pt idx="75">
                <c:v>0.46989999999999998</c:v>
              </c:pt>
              <c:pt idx="76">
                <c:v>0.47620000000000001</c:v>
              </c:pt>
              <c:pt idx="77">
                <c:v>0.48249999999999998</c:v>
              </c:pt>
              <c:pt idx="78">
                <c:v>0.48870000000000002</c:v>
              </c:pt>
              <c:pt idx="79">
                <c:v>0.495</c:v>
              </c:pt>
              <c:pt idx="80">
                <c:v>0.50129999999999997</c:v>
              </c:pt>
              <c:pt idx="81">
                <c:v>0.50749999999999995</c:v>
              </c:pt>
              <c:pt idx="82">
                <c:v>0.51380000000000003</c:v>
              </c:pt>
              <c:pt idx="83">
                <c:v>0.52010000000000001</c:v>
              </c:pt>
              <c:pt idx="84">
                <c:v>0.52629999999999999</c:v>
              </c:pt>
              <c:pt idx="85">
                <c:v>0.53259999999999996</c:v>
              </c:pt>
              <c:pt idx="86">
                <c:v>0.53879999999999995</c:v>
              </c:pt>
              <c:pt idx="87">
                <c:v>0.54510000000000003</c:v>
              </c:pt>
              <c:pt idx="88">
                <c:v>0.5514</c:v>
              </c:pt>
              <c:pt idx="89">
                <c:v>0.55759999999999998</c:v>
              </c:pt>
              <c:pt idx="90">
                <c:v>0.56389999999999996</c:v>
              </c:pt>
              <c:pt idx="91">
                <c:v>0.57020000000000004</c:v>
              </c:pt>
              <c:pt idx="92">
                <c:v>0.57640000000000002</c:v>
              </c:pt>
              <c:pt idx="93">
                <c:v>0.5827</c:v>
              </c:pt>
              <c:pt idx="94">
                <c:v>0.58899999999999997</c:v>
              </c:pt>
              <c:pt idx="95">
                <c:v>0.59519999999999995</c:v>
              </c:pt>
              <c:pt idx="96">
                <c:v>0.60150000000000003</c:v>
              </c:pt>
              <c:pt idx="97">
                <c:v>0.60780000000000001</c:v>
              </c:pt>
              <c:pt idx="98">
                <c:v>0.61399999999999999</c:v>
              </c:pt>
              <c:pt idx="99">
                <c:v>0.62029999999999996</c:v>
              </c:pt>
              <c:pt idx="100">
                <c:v>0.62660000000000005</c:v>
              </c:pt>
              <c:pt idx="101">
                <c:v>0.63280000000000003</c:v>
              </c:pt>
              <c:pt idx="102">
                <c:v>0.6391</c:v>
              </c:pt>
              <c:pt idx="103">
                <c:v>0.64539999999999997</c:v>
              </c:pt>
              <c:pt idx="104">
                <c:v>0.65159999999999996</c:v>
              </c:pt>
              <c:pt idx="105">
                <c:v>0.65790000000000004</c:v>
              </c:pt>
              <c:pt idx="106">
                <c:v>0.66420000000000001</c:v>
              </c:pt>
              <c:pt idx="107">
                <c:v>0.6704</c:v>
              </c:pt>
              <c:pt idx="108">
                <c:v>0.67669999999999997</c:v>
              </c:pt>
              <c:pt idx="109">
                <c:v>0.68300000000000005</c:v>
              </c:pt>
              <c:pt idx="110">
                <c:v>0.68920000000000003</c:v>
              </c:pt>
              <c:pt idx="111">
                <c:v>0.69550000000000001</c:v>
              </c:pt>
              <c:pt idx="112">
                <c:v>0.70179999999999998</c:v>
              </c:pt>
              <c:pt idx="113">
                <c:v>0.70799999999999996</c:v>
              </c:pt>
              <c:pt idx="114">
                <c:v>0.71430000000000005</c:v>
              </c:pt>
              <c:pt idx="115">
                <c:v>0.72060000000000002</c:v>
              </c:pt>
              <c:pt idx="116">
                <c:v>0.7268</c:v>
              </c:pt>
              <c:pt idx="117">
                <c:v>0.73309999999999997</c:v>
              </c:pt>
              <c:pt idx="118">
                <c:v>0.73929999999999996</c:v>
              </c:pt>
              <c:pt idx="119">
                <c:v>0.74560000000000004</c:v>
              </c:pt>
              <c:pt idx="120">
                <c:v>0.75190000000000001</c:v>
              </c:pt>
              <c:pt idx="121">
                <c:v>0.7581</c:v>
              </c:pt>
              <c:pt idx="122">
                <c:v>0.76439999999999997</c:v>
              </c:pt>
              <c:pt idx="123">
                <c:v>0.77070000000000005</c:v>
              </c:pt>
              <c:pt idx="124">
                <c:v>0.77690000000000003</c:v>
              </c:pt>
              <c:pt idx="125">
                <c:v>0.78320000000000001</c:v>
              </c:pt>
              <c:pt idx="126">
                <c:v>0.78949999999999998</c:v>
              </c:pt>
              <c:pt idx="127">
                <c:v>0.79569999999999996</c:v>
              </c:pt>
              <c:pt idx="128">
                <c:v>0.80200000000000005</c:v>
              </c:pt>
              <c:pt idx="129">
                <c:v>0.80830000000000002</c:v>
              </c:pt>
              <c:pt idx="130">
                <c:v>0.8145</c:v>
              </c:pt>
              <c:pt idx="131">
                <c:v>0.82079999999999997</c:v>
              </c:pt>
              <c:pt idx="132">
                <c:v>0.82709999999999995</c:v>
              </c:pt>
              <c:pt idx="133">
                <c:v>0.83330000000000004</c:v>
              </c:pt>
              <c:pt idx="134">
                <c:v>0.83960000000000001</c:v>
              </c:pt>
              <c:pt idx="135">
                <c:v>0.84589999999999999</c:v>
              </c:pt>
              <c:pt idx="136">
                <c:v>0.85209999999999997</c:v>
              </c:pt>
              <c:pt idx="137">
                <c:v>0.85840000000000005</c:v>
              </c:pt>
              <c:pt idx="138">
                <c:v>0.86470000000000002</c:v>
              </c:pt>
              <c:pt idx="139">
                <c:v>0.87090000000000001</c:v>
              </c:pt>
              <c:pt idx="140">
                <c:v>0.87719999999999998</c:v>
              </c:pt>
              <c:pt idx="141">
                <c:v>0.88349999999999995</c:v>
              </c:pt>
              <c:pt idx="142">
                <c:v>0.88970000000000005</c:v>
              </c:pt>
              <c:pt idx="143">
                <c:v>0.89600000000000002</c:v>
              </c:pt>
              <c:pt idx="144">
                <c:v>0.90229999999999999</c:v>
              </c:pt>
              <c:pt idx="145">
                <c:v>0.90849999999999997</c:v>
              </c:pt>
              <c:pt idx="146">
                <c:v>0.91479999999999995</c:v>
              </c:pt>
              <c:pt idx="147">
                <c:v>0.92110000000000003</c:v>
              </c:pt>
              <c:pt idx="148">
                <c:v>0.92730000000000001</c:v>
              </c:pt>
              <c:pt idx="149">
                <c:v>0.93359999999999999</c:v>
              </c:pt>
              <c:pt idx="150">
                <c:v>0.93979999999999997</c:v>
              </c:pt>
              <c:pt idx="151">
                <c:v>0.94610000000000005</c:v>
              </c:pt>
              <c:pt idx="152">
                <c:v>0.95240000000000002</c:v>
              </c:pt>
              <c:pt idx="153">
                <c:v>0.95860000000000001</c:v>
              </c:pt>
              <c:pt idx="154">
                <c:v>0.96489999999999998</c:v>
              </c:pt>
              <c:pt idx="155">
                <c:v>0.97119999999999995</c:v>
              </c:pt>
              <c:pt idx="156">
                <c:v>0.97740000000000005</c:v>
              </c:pt>
              <c:pt idx="157">
                <c:v>0.98370000000000002</c:v>
              </c:pt>
              <c:pt idx="158">
                <c:v>0.99</c:v>
              </c:pt>
              <c:pt idx="159">
                <c:v>0.99619999999999997</c:v>
              </c:pt>
              <c:pt idx="160">
                <c:v>1.0024999999999999</c:v>
              </c:pt>
              <c:pt idx="161">
                <c:v>1.0087999999999999</c:v>
              </c:pt>
              <c:pt idx="162">
                <c:v>1.0149999999999999</c:v>
              </c:pt>
              <c:pt idx="163">
                <c:v>1.0213000000000001</c:v>
              </c:pt>
              <c:pt idx="164">
                <c:v>1.0276000000000001</c:v>
              </c:pt>
              <c:pt idx="165">
                <c:v>1.0338000000000001</c:v>
              </c:pt>
              <c:pt idx="166">
                <c:v>1.0401</c:v>
              </c:pt>
              <c:pt idx="167">
                <c:v>1.0464</c:v>
              </c:pt>
              <c:pt idx="168">
                <c:v>1.0526</c:v>
              </c:pt>
              <c:pt idx="169">
                <c:v>1.0589</c:v>
              </c:pt>
              <c:pt idx="170">
                <c:v>1.0651999999999999</c:v>
              </c:pt>
              <c:pt idx="171">
                <c:v>1.0713999999999999</c:v>
              </c:pt>
              <c:pt idx="172">
                <c:v>1.0777000000000001</c:v>
              </c:pt>
              <c:pt idx="173">
                <c:v>1.0840000000000001</c:v>
              </c:pt>
              <c:pt idx="174">
                <c:v>1.0902000000000001</c:v>
              </c:pt>
              <c:pt idx="175">
                <c:v>1.0965</c:v>
              </c:pt>
              <c:pt idx="176">
                <c:v>1.1028</c:v>
              </c:pt>
              <c:pt idx="177">
                <c:v>1.109</c:v>
              </c:pt>
              <c:pt idx="178">
                <c:v>1.1153</c:v>
              </c:pt>
              <c:pt idx="179">
                <c:v>1.1215999999999999</c:v>
              </c:pt>
              <c:pt idx="180">
                <c:v>1.1277999999999999</c:v>
              </c:pt>
              <c:pt idx="181">
                <c:v>1.1341000000000001</c:v>
              </c:pt>
              <c:pt idx="182">
                <c:v>1.1404000000000001</c:v>
              </c:pt>
              <c:pt idx="183">
                <c:v>1.1466000000000001</c:v>
              </c:pt>
              <c:pt idx="184">
                <c:v>1.1529</c:v>
              </c:pt>
              <c:pt idx="185">
                <c:v>1.1591</c:v>
              </c:pt>
              <c:pt idx="186">
                <c:v>1.1654</c:v>
              </c:pt>
              <c:pt idx="187">
                <c:v>1.1717</c:v>
              </c:pt>
              <c:pt idx="188">
                <c:v>1.1778999999999999</c:v>
              </c:pt>
              <c:pt idx="189">
                <c:v>1.1841999999999999</c:v>
              </c:pt>
              <c:pt idx="190">
                <c:v>1.1904999999999999</c:v>
              </c:pt>
              <c:pt idx="191">
                <c:v>1.1967000000000001</c:v>
              </c:pt>
              <c:pt idx="192">
                <c:v>1.2030000000000001</c:v>
              </c:pt>
              <c:pt idx="193">
                <c:v>1.2093</c:v>
              </c:pt>
              <c:pt idx="194">
                <c:v>1.2155</c:v>
              </c:pt>
              <c:pt idx="195">
                <c:v>1.2218</c:v>
              </c:pt>
              <c:pt idx="196">
                <c:v>1.2281</c:v>
              </c:pt>
              <c:pt idx="197">
                <c:v>1.2343</c:v>
              </c:pt>
              <c:pt idx="198">
                <c:v>1.2405999999999999</c:v>
              </c:pt>
              <c:pt idx="199">
                <c:v>1.2468999999999999</c:v>
              </c:pt>
              <c:pt idx="200">
                <c:v>1.2531000000000001</c:v>
              </c:pt>
              <c:pt idx="201">
                <c:v>1.2594000000000001</c:v>
              </c:pt>
              <c:pt idx="202">
                <c:v>1.2657</c:v>
              </c:pt>
              <c:pt idx="203">
                <c:v>1.2719</c:v>
              </c:pt>
              <c:pt idx="204">
                <c:v>1.2782</c:v>
              </c:pt>
              <c:pt idx="205">
                <c:v>1.2845</c:v>
              </c:pt>
              <c:pt idx="206">
                <c:v>1.2907</c:v>
              </c:pt>
              <c:pt idx="207">
                <c:v>1.2969999999999999</c:v>
              </c:pt>
              <c:pt idx="208">
                <c:v>1.3032999999999999</c:v>
              </c:pt>
              <c:pt idx="209">
                <c:v>1.3095000000000001</c:v>
              </c:pt>
              <c:pt idx="210">
                <c:v>1.3158000000000001</c:v>
              </c:pt>
              <c:pt idx="211">
                <c:v>1.3221000000000001</c:v>
              </c:pt>
              <c:pt idx="212">
                <c:v>1.3283</c:v>
              </c:pt>
              <c:pt idx="213">
                <c:v>1.3346</c:v>
              </c:pt>
              <c:pt idx="214">
                <c:v>1.3409</c:v>
              </c:pt>
              <c:pt idx="215">
                <c:v>1.3471</c:v>
              </c:pt>
              <c:pt idx="216">
                <c:v>1.3533999999999999</c:v>
              </c:pt>
              <c:pt idx="217">
                <c:v>1.3595999999999999</c:v>
              </c:pt>
              <c:pt idx="218">
                <c:v>1.3658999999999999</c:v>
              </c:pt>
              <c:pt idx="219">
                <c:v>1.3722000000000001</c:v>
              </c:pt>
              <c:pt idx="220">
                <c:v>1.3784000000000001</c:v>
              </c:pt>
              <c:pt idx="221">
                <c:v>1.3847</c:v>
              </c:pt>
              <c:pt idx="222">
                <c:v>1.391</c:v>
              </c:pt>
              <c:pt idx="223">
                <c:v>1.3972</c:v>
              </c:pt>
              <c:pt idx="224">
                <c:v>1.4035</c:v>
              </c:pt>
              <c:pt idx="225">
                <c:v>1.4097999999999999</c:v>
              </c:pt>
              <c:pt idx="226">
                <c:v>1.4159999999999999</c:v>
              </c:pt>
              <c:pt idx="227">
                <c:v>1.4222999999999999</c:v>
              </c:pt>
              <c:pt idx="228">
                <c:v>1.4286000000000001</c:v>
              </c:pt>
              <c:pt idx="229">
                <c:v>1.4348000000000001</c:v>
              </c:pt>
              <c:pt idx="230">
                <c:v>1.4411</c:v>
              </c:pt>
              <c:pt idx="231">
                <c:v>1.4474</c:v>
              </c:pt>
              <c:pt idx="232">
                <c:v>1.4536</c:v>
              </c:pt>
              <c:pt idx="233">
                <c:v>1.4599</c:v>
              </c:pt>
              <c:pt idx="234">
                <c:v>1.4661999999999999</c:v>
              </c:pt>
              <c:pt idx="235">
                <c:v>1.4723999999999999</c:v>
              </c:pt>
              <c:pt idx="236">
                <c:v>1.4786999999999999</c:v>
              </c:pt>
              <c:pt idx="237">
                <c:v>1.4850000000000001</c:v>
              </c:pt>
              <c:pt idx="238">
                <c:v>1.4912000000000001</c:v>
              </c:pt>
              <c:pt idx="239">
                <c:v>1.4975000000000001</c:v>
              </c:pt>
              <c:pt idx="240">
                <c:v>1.5038</c:v>
              </c:pt>
              <c:pt idx="241">
                <c:v>1.51</c:v>
              </c:pt>
              <c:pt idx="242">
                <c:v>1.5163</c:v>
              </c:pt>
              <c:pt idx="243">
                <c:v>1.5226</c:v>
              </c:pt>
              <c:pt idx="244">
                <c:v>1.5287999999999999</c:v>
              </c:pt>
              <c:pt idx="245">
                <c:v>1.5350999999999999</c:v>
              </c:pt>
              <c:pt idx="246">
                <c:v>1.5414000000000001</c:v>
              </c:pt>
              <c:pt idx="247">
                <c:v>1.5476000000000001</c:v>
              </c:pt>
              <c:pt idx="248">
                <c:v>1.5539000000000001</c:v>
              </c:pt>
              <c:pt idx="249">
                <c:v>1.5602</c:v>
              </c:pt>
              <c:pt idx="250">
                <c:v>1.5664</c:v>
              </c:pt>
              <c:pt idx="251">
                <c:v>1.5727</c:v>
              </c:pt>
              <c:pt idx="252">
                <c:v>1.5789</c:v>
              </c:pt>
              <c:pt idx="253">
                <c:v>1.5851999999999999</c:v>
              </c:pt>
              <c:pt idx="254">
                <c:v>1.5914999999999999</c:v>
              </c:pt>
              <c:pt idx="255">
                <c:v>1.5976999999999999</c:v>
              </c:pt>
              <c:pt idx="256">
                <c:v>1.6040000000000001</c:v>
              </c:pt>
              <c:pt idx="257">
                <c:v>1.6103000000000001</c:v>
              </c:pt>
              <c:pt idx="258">
                <c:v>1.6165</c:v>
              </c:pt>
              <c:pt idx="259">
                <c:v>1.6228</c:v>
              </c:pt>
              <c:pt idx="260">
                <c:v>1.6291</c:v>
              </c:pt>
              <c:pt idx="261">
                <c:v>1.6353</c:v>
              </c:pt>
              <c:pt idx="262">
                <c:v>1.6415999999999999</c:v>
              </c:pt>
              <c:pt idx="263">
                <c:v>1.6478999999999999</c:v>
              </c:pt>
              <c:pt idx="264">
                <c:v>1.6540999999999999</c:v>
              </c:pt>
              <c:pt idx="265">
                <c:v>1.6604000000000001</c:v>
              </c:pt>
              <c:pt idx="266">
                <c:v>1.6667000000000001</c:v>
              </c:pt>
              <c:pt idx="267">
                <c:v>1.6729000000000001</c:v>
              </c:pt>
              <c:pt idx="268">
                <c:v>1.6792</c:v>
              </c:pt>
              <c:pt idx="269">
                <c:v>1.6855</c:v>
              </c:pt>
              <c:pt idx="270">
                <c:v>1.6917</c:v>
              </c:pt>
              <c:pt idx="271">
                <c:v>1.698</c:v>
              </c:pt>
              <c:pt idx="272">
                <c:v>1.7042999999999999</c:v>
              </c:pt>
              <c:pt idx="273">
                <c:v>1.7104999999999999</c:v>
              </c:pt>
              <c:pt idx="274">
                <c:v>1.7168000000000001</c:v>
              </c:pt>
              <c:pt idx="275">
                <c:v>1.7231000000000001</c:v>
              </c:pt>
              <c:pt idx="276">
                <c:v>1.7293000000000001</c:v>
              </c:pt>
              <c:pt idx="277">
                <c:v>1.7356</c:v>
              </c:pt>
              <c:pt idx="278">
                <c:v>1.7419</c:v>
              </c:pt>
              <c:pt idx="279">
                <c:v>1.7481</c:v>
              </c:pt>
              <c:pt idx="280">
                <c:v>1.7544</c:v>
              </c:pt>
              <c:pt idx="281">
                <c:v>1.7606999999999999</c:v>
              </c:pt>
              <c:pt idx="282">
                <c:v>1.7668999999999999</c:v>
              </c:pt>
              <c:pt idx="283">
                <c:v>1.7732000000000001</c:v>
              </c:pt>
              <c:pt idx="284">
                <c:v>1.7794000000000001</c:v>
              </c:pt>
              <c:pt idx="285">
                <c:v>1.7857000000000001</c:v>
              </c:pt>
              <c:pt idx="286">
                <c:v>1.792</c:v>
              </c:pt>
              <c:pt idx="287">
                <c:v>1.7982</c:v>
              </c:pt>
              <c:pt idx="288">
                <c:v>1.8045</c:v>
              </c:pt>
              <c:pt idx="289">
                <c:v>1.8108</c:v>
              </c:pt>
              <c:pt idx="290">
                <c:v>1.8169999999999999</c:v>
              </c:pt>
              <c:pt idx="291">
                <c:v>1.8232999999999999</c:v>
              </c:pt>
              <c:pt idx="292">
                <c:v>1.8295999999999999</c:v>
              </c:pt>
              <c:pt idx="293">
                <c:v>1.8358000000000001</c:v>
              </c:pt>
              <c:pt idx="294">
                <c:v>1.8421000000000001</c:v>
              </c:pt>
              <c:pt idx="295">
                <c:v>1.8484</c:v>
              </c:pt>
              <c:pt idx="296">
                <c:v>1.8546</c:v>
              </c:pt>
              <c:pt idx="297">
                <c:v>1.8609</c:v>
              </c:pt>
              <c:pt idx="298">
                <c:v>1.8672</c:v>
              </c:pt>
              <c:pt idx="299">
                <c:v>1.8734</c:v>
              </c:pt>
              <c:pt idx="300">
                <c:v>1.8796999999999999</c:v>
              </c:pt>
              <c:pt idx="301">
                <c:v>1.8859999999999999</c:v>
              </c:pt>
              <c:pt idx="302">
                <c:v>1.8922000000000001</c:v>
              </c:pt>
              <c:pt idx="303">
                <c:v>1.8985000000000001</c:v>
              </c:pt>
              <c:pt idx="304">
                <c:v>1.9048</c:v>
              </c:pt>
              <c:pt idx="305">
                <c:v>1.911</c:v>
              </c:pt>
              <c:pt idx="306">
                <c:v>1.9173</c:v>
              </c:pt>
              <c:pt idx="307">
                <c:v>1.9236</c:v>
              </c:pt>
              <c:pt idx="308">
                <c:v>1.9298</c:v>
              </c:pt>
              <c:pt idx="309">
                <c:v>1.9360999999999999</c:v>
              </c:pt>
              <c:pt idx="310">
                <c:v>1.9423999999999999</c:v>
              </c:pt>
              <c:pt idx="311">
                <c:v>1.9486000000000001</c:v>
              </c:pt>
              <c:pt idx="312">
                <c:v>1.9549000000000001</c:v>
              </c:pt>
              <c:pt idx="313">
                <c:v>1.9612000000000001</c:v>
              </c:pt>
              <c:pt idx="314">
                <c:v>1.9674</c:v>
              </c:pt>
              <c:pt idx="315">
                <c:v>1.9737</c:v>
              </c:pt>
              <c:pt idx="316">
                <c:v>1.9799</c:v>
              </c:pt>
              <c:pt idx="317">
                <c:v>1.9862</c:v>
              </c:pt>
              <c:pt idx="318">
                <c:v>1.9924999999999999</c:v>
              </c:pt>
              <c:pt idx="319">
                <c:v>1.9986999999999999</c:v>
              </c:pt>
              <c:pt idx="320">
                <c:v>2.0049999999999999</c:v>
              </c:pt>
              <c:pt idx="321">
                <c:v>2.0112999999999999</c:v>
              </c:pt>
              <c:pt idx="322">
                <c:v>2.0175000000000001</c:v>
              </c:pt>
              <c:pt idx="323">
                <c:v>2.0238</c:v>
              </c:pt>
              <c:pt idx="324">
                <c:v>2.0301</c:v>
              </c:pt>
              <c:pt idx="325">
                <c:v>2.0363000000000002</c:v>
              </c:pt>
              <c:pt idx="326">
                <c:v>2.0426000000000002</c:v>
              </c:pt>
              <c:pt idx="327">
                <c:v>2.0489000000000002</c:v>
              </c:pt>
              <c:pt idx="328">
                <c:v>2.0550999999999999</c:v>
              </c:pt>
              <c:pt idx="329">
                <c:v>2.0613999999999999</c:v>
              </c:pt>
              <c:pt idx="330">
                <c:v>2.0676999999999999</c:v>
              </c:pt>
              <c:pt idx="331">
                <c:v>2.0739000000000001</c:v>
              </c:pt>
              <c:pt idx="332">
                <c:v>2.0802</c:v>
              </c:pt>
              <c:pt idx="333">
                <c:v>2.0865</c:v>
              </c:pt>
              <c:pt idx="334">
                <c:v>2.0926999999999998</c:v>
              </c:pt>
              <c:pt idx="335">
                <c:v>2.0990000000000002</c:v>
              </c:pt>
              <c:pt idx="336">
                <c:v>2.1053000000000002</c:v>
              </c:pt>
              <c:pt idx="337">
                <c:v>2.1114999999999999</c:v>
              </c:pt>
              <c:pt idx="338">
                <c:v>2.1177999999999999</c:v>
              </c:pt>
              <c:pt idx="339">
                <c:v>2.1240999999999999</c:v>
              </c:pt>
              <c:pt idx="340">
                <c:v>2.1303000000000001</c:v>
              </c:pt>
              <c:pt idx="341">
                <c:v>2.1366000000000001</c:v>
              </c:pt>
              <c:pt idx="342">
                <c:v>2.1429</c:v>
              </c:pt>
              <c:pt idx="343">
                <c:v>2.1490999999999998</c:v>
              </c:pt>
              <c:pt idx="344">
                <c:v>2.1554000000000002</c:v>
              </c:pt>
              <c:pt idx="345">
                <c:v>2.1617000000000002</c:v>
              </c:pt>
              <c:pt idx="346">
                <c:v>2.1678999999999999</c:v>
              </c:pt>
              <c:pt idx="347">
                <c:v>2.1741999999999999</c:v>
              </c:pt>
              <c:pt idx="348">
                <c:v>2.1804999999999999</c:v>
              </c:pt>
              <c:pt idx="349">
                <c:v>2.1867000000000001</c:v>
              </c:pt>
              <c:pt idx="350">
                <c:v>2.1930000000000001</c:v>
              </c:pt>
              <c:pt idx="351">
                <c:v>2.1991999999999998</c:v>
              </c:pt>
              <c:pt idx="352">
                <c:v>2.2054999999999998</c:v>
              </c:pt>
              <c:pt idx="353">
                <c:v>2.2118000000000002</c:v>
              </c:pt>
              <c:pt idx="354">
                <c:v>2.218</c:v>
              </c:pt>
              <c:pt idx="355">
                <c:v>2.2242999999999999</c:v>
              </c:pt>
              <c:pt idx="356">
                <c:v>2.2305999999999999</c:v>
              </c:pt>
              <c:pt idx="357">
                <c:v>2.2368000000000001</c:v>
              </c:pt>
              <c:pt idx="358">
                <c:v>2.2431000000000001</c:v>
              </c:pt>
              <c:pt idx="359">
                <c:v>2.2494000000000001</c:v>
              </c:pt>
              <c:pt idx="360">
                <c:v>2.2555999999999998</c:v>
              </c:pt>
              <c:pt idx="361">
                <c:v>2.2618999999999998</c:v>
              </c:pt>
              <c:pt idx="362">
                <c:v>2.2682000000000002</c:v>
              </c:pt>
              <c:pt idx="363">
                <c:v>2.2744</c:v>
              </c:pt>
              <c:pt idx="364">
                <c:v>2.2806999999999999</c:v>
              </c:pt>
              <c:pt idx="365">
                <c:v>2.2869999999999999</c:v>
              </c:pt>
              <c:pt idx="366">
                <c:v>2.2932000000000001</c:v>
              </c:pt>
              <c:pt idx="367">
                <c:v>2.2995000000000001</c:v>
              </c:pt>
              <c:pt idx="368">
                <c:v>2.3058000000000001</c:v>
              </c:pt>
              <c:pt idx="369">
                <c:v>2.3119999999999998</c:v>
              </c:pt>
              <c:pt idx="370">
                <c:v>2.3182999999999998</c:v>
              </c:pt>
              <c:pt idx="371">
                <c:v>2.3246000000000002</c:v>
              </c:pt>
              <c:pt idx="372">
                <c:v>2.3308</c:v>
              </c:pt>
              <c:pt idx="373">
                <c:v>2.3371</c:v>
              </c:pt>
              <c:pt idx="374">
                <c:v>2.3433999999999999</c:v>
              </c:pt>
              <c:pt idx="375">
                <c:v>2.3496000000000001</c:v>
              </c:pt>
              <c:pt idx="376">
                <c:v>2.3559000000000001</c:v>
              </c:pt>
              <c:pt idx="377">
                <c:v>2.3622000000000001</c:v>
              </c:pt>
              <c:pt idx="378">
                <c:v>2.3683999999999998</c:v>
              </c:pt>
              <c:pt idx="379">
                <c:v>2.3746999999999998</c:v>
              </c:pt>
              <c:pt idx="380">
                <c:v>2.3809999999999998</c:v>
              </c:pt>
              <c:pt idx="381">
                <c:v>2.3872</c:v>
              </c:pt>
              <c:pt idx="382">
                <c:v>2.3935</c:v>
              </c:pt>
              <c:pt idx="383">
                <c:v>2.3997000000000002</c:v>
              </c:pt>
              <c:pt idx="384">
                <c:v>2.4060000000000001</c:v>
              </c:pt>
              <c:pt idx="385">
                <c:v>2.4123000000000001</c:v>
              </c:pt>
              <c:pt idx="386">
                <c:v>2.4184999999999999</c:v>
              </c:pt>
              <c:pt idx="387">
                <c:v>2.4247999999999998</c:v>
              </c:pt>
              <c:pt idx="388">
                <c:v>2.4310999999999998</c:v>
              </c:pt>
              <c:pt idx="389">
                <c:v>2.4373</c:v>
              </c:pt>
              <c:pt idx="390">
                <c:v>2.4436</c:v>
              </c:pt>
              <c:pt idx="391">
                <c:v>2.4499</c:v>
              </c:pt>
              <c:pt idx="392">
                <c:v>2.4561000000000002</c:v>
              </c:pt>
              <c:pt idx="393">
                <c:v>2.4624000000000001</c:v>
              </c:pt>
              <c:pt idx="394">
                <c:v>2.4687000000000001</c:v>
              </c:pt>
              <c:pt idx="395">
                <c:v>2.4748999999999999</c:v>
              </c:pt>
            </c:numLit>
          </c:xVal>
          <c:yVal>
            <c:numLit>
              <c:formatCode>General</c:formatCode>
              <c:ptCount val="39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E0-4D07-BD97-E856C2ECB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1568"/>
        <c:axId val="1360896848"/>
      </c:scatterChart>
      <c:valAx>
        <c:axId val="1360891568"/>
        <c:scaling>
          <c:orientation val="minMax"/>
          <c:max val="2.474937343358395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6848"/>
        <c:crosses val="autoZero"/>
        <c:crossBetween val="midCat"/>
      </c:valAx>
      <c:valAx>
        <c:axId val="13608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1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Delta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95"/>
              <c:pt idx="0">
                <c:v>6.0000000000000001E-3</c:v>
              </c:pt>
              <c:pt idx="1">
                <c:v>1.2999999999999999E-2</c:v>
              </c:pt>
              <c:pt idx="2">
                <c:v>1.9E-2</c:v>
              </c:pt>
              <c:pt idx="3">
                <c:v>2.5000000000000001E-2</c:v>
              </c:pt>
              <c:pt idx="4">
                <c:v>3.1E-2</c:v>
              </c:pt>
              <c:pt idx="5">
                <c:v>3.7999999999999999E-2</c:v>
              </c:pt>
              <c:pt idx="6">
                <c:v>4.3999999999999997E-2</c:v>
              </c:pt>
              <c:pt idx="7">
                <c:v>0.05</c:v>
              </c:pt>
              <c:pt idx="8">
                <c:v>5.6000000000000001E-2</c:v>
              </c:pt>
              <c:pt idx="9">
                <c:v>6.3E-2</c:v>
              </c:pt>
              <c:pt idx="10">
                <c:v>6.9000000000000006E-2</c:v>
              </c:pt>
              <c:pt idx="11">
                <c:v>7.4999999999999997E-2</c:v>
              </c:pt>
              <c:pt idx="12">
                <c:v>8.1000000000000003E-2</c:v>
              </c:pt>
              <c:pt idx="13">
                <c:v>8.7999999999999995E-2</c:v>
              </c:pt>
              <c:pt idx="14">
                <c:v>9.4E-2</c:v>
              </c:pt>
              <c:pt idx="15">
                <c:v>0.1</c:v>
              </c:pt>
              <c:pt idx="16">
                <c:v>0.107</c:v>
              </c:pt>
              <c:pt idx="17">
                <c:v>0.113</c:v>
              </c:pt>
              <c:pt idx="18">
                <c:v>0.11899999999999999</c:v>
              </c:pt>
              <c:pt idx="19">
                <c:v>0.125</c:v>
              </c:pt>
              <c:pt idx="20">
                <c:v>0.13200000000000001</c:v>
              </c:pt>
              <c:pt idx="21">
                <c:v>0.13800000000000001</c:v>
              </c:pt>
              <c:pt idx="22">
                <c:v>0.14399999999999999</c:v>
              </c:pt>
              <c:pt idx="23">
                <c:v>0.15</c:v>
              </c:pt>
              <c:pt idx="24">
                <c:v>0.157</c:v>
              </c:pt>
              <c:pt idx="25">
                <c:v>0.16300000000000001</c:v>
              </c:pt>
              <c:pt idx="26">
                <c:v>0.16900000000000001</c:v>
              </c:pt>
              <c:pt idx="27">
                <c:v>0.17499999999999999</c:v>
              </c:pt>
              <c:pt idx="28">
                <c:v>0.182</c:v>
              </c:pt>
              <c:pt idx="29">
                <c:v>0.188</c:v>
              </c:pt>
              <c:pt idx="30">
                <c:v>0.19400000000000001</c:v>
              </c:pt>
              <c:pt idx="31">
                <c:v>0.20100000000000001</c:v>
              </c:pt>
              <c:pt idx="32">
                <c:v>0.20699999999999999</c:v>
              </c:pt>
              <c:pt idx="33">
                <c:v>0.21299999999999999</c:v>
              </c:pt>
              <c:pt idx="34">
                <c:v>0.219</c:v>
              </c:pt>
              <c:pt idx="35">
                <c:v>0.22600000000000001</c:v>
              </c:pt>
              <c:pt idx="36">
                <c:v>0.23200000000000001</c:v>
              </c:pt>
              <c:pt idx="37">
                <c:v>0.23799999999999999</c:v>
              </c:pt>
              <c:pt idx="38">
                <c:v>0.24399999999999999</c:v>
              </c:pt>
              <c:pt idx="39">
                <c:v>0.251</c:v>
              </c:pt>
              <c:pt idx="40">
                <c:v>0.25700000000000001</c:v>
              </c:pt>
              <c:pt idx="41">
                <c:v>0.26300000000000001</c:v>
              </c:pt>
              <c:pt idx="42">
                <c:v>0.26900000000000002</c:v>
              </c:pt>
              <c:pt idx="43">
                <c:v>0.27600000000000002</c:v>
              </c:pt>
              <c:pt idx="44">
                <c:v>0.28199999999999997</c:v>
              </c:pt>
              <c:pt idx="45">
                <c:v>0.28799999999999998</c:v>
              </c:pt>
              <c:pt idx="46">
                <c:v>0.29399999999999998</c:v>
              </c:pt>
              <c:pt idx="47">
                <c:v>0.30099999999999999</c:v>
              </c:pt>
              <c:pt idx="48">
                <c:v>0.307</c:v>
              </c:pt>
              <c:pt idx="49">
                <c:v>0.313</c:v>
              </c:pt>
              <c:pt idx="50">
                <c:v>0.32</c:v>
              </c:pt>
              <c:pt idx="51">
                <c:v>0.32600000000000001</c:v>
              </c:pt>
              <c:pt idx="52">
                <c:v>0.33200000000000002</c:v>
              </c:pt>
              <c:pt idx="53">
                <c:v>0.33800000000000002</c:v>
              </c:pt>
              <c:pt idx="54">
                <c:v>0.34499999999999997</c:v>
              </c:pt>
              <c:pt idx="55">
                <c:v>0.35099999999999998</c:v>
              </c:pt>
              <c:pt idx="56">
                <c:v>0.35699999999999998</c:v>
              </c:pt>
              <c:pt idx="57">
                <c:v>0.36299999999999999</c:v>
              </c:pt>
              <c:pt idx="58">
                <c:v>0.37</c:v>
              </c:pt>
              <c:pt idx="59">
                <c:v>0.376</c:v>
              </c:pt>
              <c:pt idx="60">
                <c:v>0.38200000000000001</c:v>
              </c:pt>
              <c:pt idx="61">
                <c:v>0.38800000000000001</c:v>
              </c:pt>
              <c:pt idx="62">
                <c:v>0.39500000000000002</c:v>
              </c:pt>
              <c:pt idx="63">
                <c:v>0.40100000000000002</c:v>
              </c:pt>
              <c:pt idx="64">
                <c:v>0.40699999999999997</c:v>
              </c:pt>
              <c:pt idx="65">
                <c:v>0.41399999999999998</c:v>
              </c:pt>
              <c:pt idx="66">
                <c:v>0.42</c:v>
              </c:pt>
              <c:pt idx="67">
                <c:v>0.42599999999999999</c:v>
              </c:pt>
              <c:pt idx="68">
                <c:v>0.432</c:v>
              </c:pt>
              <c:pt idx="69">
                <c:v>0.439</c:v>
              </c:pt>
              <c:pt idx="70">
                <c:v>0.44500000000000001</c:v>
              </c:pt>
              <c:pt idx="71">
                <c:v>0.45100000000000001</c:v>
              </c:pt>
              <c:pt idx="72">
                <c:v>0.45700000000000002</c:v>
              </c:pt>
              <c:pt idx="73">
                <c:v>0.46400000000000002</c:v>
              </c:pt>
              <c:pt idx="74">
                <c:v>0.47</c:v>
              </c:pt>
              <c:pt idx="75">
                <c:v>0.47599999999999998</c:v>
              </c:pt>
              <c:pt idx="76">
                <c:v>0.48199999999999998</c:v>
              </c:pt>
              <c:pt idx="77">
                <c:v>0.48899999999999999</c:v>
              </c:pt>
              <c:pt idx="78">
                <c:v>0.495</c:v>
              </c:pt>
              <c:pt idx="79">
                <c:v>0.501</c:v>
              </c:pt>
              <c:pt idx="80">
                <c:v>0.50800000000000001</c:v>
              </c:pt>
              <c:pt idx="81">
                <c:v>0.51400000000000001</c:v>
              </c:pt>
              <c:pt idx="82">
                <c:v>0.52</c:v>
              </c:pt>
              <c:pt idx="83">
                <c:v>0.52600000000000002</c:v>
              </c:pt>
              <c:pt idx="84">
                <c:v>0.53300000000000003</c:v>
              </c:pt>
              <c:pt idx="85">
                <c:v>0.53900000000000003</c:v>
              </c:pt>
              <c:pt idx="86">
                <c:v>0.54500000000000004</c:v>
              </c:pt>
              <c:pt idx="87">
                <c:v>0.55100000000000005</c:v>
              </c:pt>
              <c:pt idx="88">
                <c:v>0.55800000000000005</c:v>
              </c:pt>
              <c:pt idx="89">
                <c:v>0.56399999999999995</c:v>
              </c:pt>
              <c:pt idx="90">
                <c:v>0.56999999999999995</c:v>
              </c:pt>
              <c:pt idx="91">
                <c:v>0.57599999999999996</c:v>
              </c:pt>
              <c:pt idx="92">
                <c:v>0.58299999999999996</c:v>
              </c:pt>
              <c:pt idx="93">
                <c:v>0.58899999999999997</c:v>
              </c:pt>
              <c:pt idx="94">
                <c:v>0.59499999999999997</c:v>
              </c:pt>
              <c:pt idx="95">
                <c:v>0.60199999999999998</c:v>
              </c:pt>
              <c:pt idx="96">
                <c:v>0.60799999999999998</c:v>
              </c:pt>
              <c:pt idx="97">
                <c:v>0.61399999999999999</c:v>
              </c:pt>
              <c:pt idx="98">
                <c:v>0.62</c:v>
              </c:pt>
              <c:pt idx="99">
                <c:v>0.627</c:v>
              </c:pt>
              <c:pt idx="100">
                <c:v>0.63300000000000001</c:v>
              </c:pt>
              <c:pt idx="101">
                <c:v>0.63900000000000001</c:v>
              </c:pt>
              <c:pt idx="102">
                <c:v>0.64500000000000002</c:v>
              </c:pt>
              <c:pt idx="103">
                <c:v>0.65200000000000002</c:v>
              </c:pt>
              <c:pt idx="104">
                <c:v>0.65800000000000003</c:v>
              </c:pt>
              <c:pt idx="105">
                <c:v>0.66400000000000003</c:v>
              </c:pt>
              <c:pt idx="106">
                <c:v>0.67</c:v>
              </c:pt>
              <c:pt idx="107">
                <c:v>0.67700000000000005</c:v>
              </c:pt>
              <c:pt idx="108">
                <c:v>0.68300000000000005</c:v>
              </c:pt>
              <c:pt idx="109">
                <c:v>0.68899999999999995</c:v>
              </c:pt>
              <c:pt idx="110">
                <c:v>0.69499999999999995</c:v>
              </c:pt>
              <c:pt idx="111">
                <c:v>0.70199999999999996</c:v>
              </c:pt>
              <c:pt idx="112">
                <c:v>0.70799999999999996</c:v>
              </c:pt>
              <c:pt idx="113">
                <c:v>0.71399999999999997</c:v>
              </c:pt>
              <c:pt idx="114">
                <c:v>0.72099999999999997</c:v>
              </c:pt>
              <c:pt idx="115">
                <c:v>0.72699999999999998</c:v>
              </c:pt>
              <c:pt idx="116">
                <c:v>0.73299999999999998</c:v>
              </c:pt>
              <c:pt idx="117">
                <c:v>0.73899999999999999</c:v>
              </c:pt>
              <c:pt idx="118">
                <c:v>0.746</c:v>
              </c:pt>
              <c:pt idx="119">
                <c:v>0.752</c:v>
              </c:pt>
              <c:pt idx="120">
                <c:v>0.75800000000000001</c:v>
              </c:pt>
              <c:pt idx="121">
                <c:v>0.76400000000000001</c:v>
              </c:pt>
              <c:pt idx="122">
                <c:v>0.77100000000000002</c:v>
              </c:pt>
              <c:pt idx="123">
                <c:v>0.77700000000000002</c:v>
              </c:pt>
              <c:pt idx="124">
                <c:v>0.78300000000000003</c:v>
              </c:pt>
              <c:pt idx="125">
                <c:v>0.78900000000000003</c:v>
              </c:pt>
              <c:pt idx="126">
                <c:v>0.79600000000000004</c:v>
              </c:pt>
              <c:pt idx="127">
                <c:v>0.80200000000000005</c:v>
              </c:pt>
              <c:pt idx="128">
                <c:v>0.80800000000000005</c:v>
              </c:pt>
              <c:pt idx="129">
                <c:v>0.81499999999999995</c:v>
              </c:pt>
              <c:pt idx="130">
                <c:v>0.82099999999999995</c:v>
              </c:pt>
              <c:pt idx="131">
                <c:v>0.82699999999999996</c:v>
              </c:pt>
              <c:pt idx="132">
                <c:v>0.83299999999999996</c:v>
              </c:pt>
              <c:pt idx="133">
                <c:v>0.84</c:v>
              </c:pt>
              <c:pt idx="134">
                <c:v>0.84599999999999997</c:v>
              </c:pt>
              <c:pt idx="135">
                <c:v>0.85199999999999998</c:v>
              </c:pt>
              <c:pt idx="136">
                <c:v>0.85799999999999998</c:v>
              </c:pt>
              <c:pt idx="137">
                <c:v>0.86499999999999999</c:v>
              </c:pt>
              <c:pt idx="138">
                <c:v>0.871</c:v>
              </c:pt>
              <c:pt idx="139">
                <c:v>0.877</c:v>
              </c:pt>
              <c:pt idx="140">
                <c:v>0.88300000000000001</c:v>
              </c:pt>
              <c:pt idx="141">
                <c:v>0.89</c:v>
              </c:pt>
              <c:pt idx="142">
                <c:v>0.89600000000000002</c:v>
              </c:pt>
              <c:pt idx="143">
                <c:v>0.90200000000000002</c:v>
              </c:pt>
              <c:pt idx="144">
                <c:v>0.90900000000000003</c:v>
              </c:pt>
              <c:pt idx="145">
                <c:v>0.91500000000000004</c:v>
              </c:pt>
              <c:pt idx="146">
                <c:v>0.92100000000000004</c:v>
              </c:pt>
              <c:pt idx="147">
                <c:v>0.92700000000000005</c:v>
              </c:pt>
              <c:pt idx="148">
                <c:v>0.93400000000000005</c:v>
              </c:pt>
              <c:pt idx="149">
                <c:v>0.94</c:v>
              </c:pt>
              <c:pt idx="150">
                <c:v>0.94599999999999995</c:v>
              </c:pt>
              <c:pt idx="151">
                <c:v>0.95199999999999996</c:v>
              </c:pt>
              <c:pt idx="152">
                <c:v>0.95899999999999996</c:v>
              </c:pt>
              <c:pt idx="153">
                <c:v>0.96499999999999997</c:v>
              </c:pt>
              <c:pt idx="154">
                <c:v>0.97099999999999997</c:v>
              </c:pt>
              <c:pt idx="155">
                <c:v>0.97699999999999998</c:v>
              </c:pt>
              <c:pt idx="156">
                <c:v>0.98399999999999999</c:v>
              </c:pt>
              <c:pt idx="157">
                <c:v>0.99</c:v>
              </c:pt>
              <c:pt idx="158">
                <c:v>0.996</c:v>
              </c:pt>
              <c:pt idx="159">
                <c:v>1.0029999999999999</c:v>
              </c:pt>
              <c:pt idx="160">
                <c:v>1.0089999999999999</c:v>
              </c:pt>
              <c:pt idx="161">
                <c:v>1.0149999999999999</c:v>
              </c:pt>
              <c:pt idx="162">
                <c:v>1.0209999999999999</c:v>
              </c:pt>
              <c:pt idx="163">
                <c:v>1.028</c:v>
              </c:pt>
              <c:pt idx="164">
                <c:v>1.034</c:v>
              </c:pt>
              <c:pt idx="165">
                <c:v>1.04</c:v>
              </c:pt>
              <c:pt idx="166">
                <c:v>1.046</c:v>
              </c:pt>
              <c:pt idx="167">
                <c:v>1.0529999999999999</c:v>
              </c:pt>
              <c:pt idx="168">
                <c:v>1.0589999999999999</c:v>
              </c:pt>
              <c:pt idx="169">
                <c:v>1.0649999999999999</c:v>
              </c:pt>
              <c:pt idx="170">
                <c:v>1.071</c:v>
              </c:pt>
              <c:pt idx="171">
                <c:v>1.0780000000000001</c:v>
              </c:pt>
              <c:pt idx="172">
                <c:v>1.0840000000000001</c:v>
              </c:pt>
              <c:pt idx="173">
                <c:v>1.0900000000000001</c:v>
              </c:pt>
              <c:pt idx="174">
                <c:v>1.0960000000000001</c:v>
              </c:pt>
              <c:pt idx="175">
                <c:v>1.103</c:v>
              </c:pt>
              <c:pt idx="176">
                <c:v>1.109</c:v>
              </c:pt>
              <c:pt idx="177">
                <c:v>1.115</c:v>
              </c:pt>
              <c:pt idx="178">
                <c:v>1.1220000000000001</c:v>
              </c:pt>
              <c:pt idx="179">
                <c:v>1.1279999999999999</c:v>
              </c:pt>
              <c:pt idx="180">
                <c:v>1.1339999999999999</c:v>
              </c:pt>
              <c:pt idx="181">
                <c:v>1.1399999999999999</c:v>
              </c:pt>
              <c:pt idx="182">
                <c:v>1.147</c:v>
              </c:pt>
              <c:pt idx="183">
                <c:v>1.153</c:v>
              </c:pt>
              <c:pt idx="184">
                <c:v>1.159</c:v>
              </c:pt>
              <c:pt idx="185">
                <c:v>1.165</c:v>
              </c:pt>
              <c:pt idx="186">
                <c:v>1.1719999999999999</c:v>
              </c:pt>
              <c:pt idx="187">
                <c:v>1.1779999999999999</c:v>
              </c:pt>
              <c:pt idx="188">
                <c:v>1.1839999999999999</c:v>
              </c:pt>
              <c:pt idx="189">
                <c:v>1.19</c:v>
              </c:pt>
              <c:pt idx="190">
                <c:v>1.1970000000000001</c:v>
              </c:pt>
              <c:pt idx="191">
                <c:v>1.2030000000000001</c:v>
              </c:pt>
              <c:pt idx="192">
                <c:v>1.2090000000000001</c:v>
              </c:pt>
              <c:pt idx="193">
                <c:v>1.216</c:v>
              </c:pt>
              <c:pt idx="194">
                <c:v>1.222</c:v>
              </c:pt>
              <c:pt idx="195">
                <c:v>1.228</c:v>
              </c:pt>
              <c:pt idx="196">
                <c:v>1.234</c:v>
              </c:pt>
              <c:pt idx="197">
                <c:v>1.2410000000000001</c:v>
              </c:pt>
              <c:pt idx="198">
                <c:v>1.2470000000000001</c:v>
              </c:pt>
              <c:pt idx="199">
                <c:v>1.2529999999999999</c:v>
              </c:pt>
              <c:pt idx="200">
                <c:v>1.2589999999999999</c:v>
              </c:pt>
              <c:pt idx="201">
                <c:v>1.266</c:v>
              </c:pt>
              <c:pt idx="202">
                <c:v>1.272</c:v>
              </c:pt>
              <c:pt idx="203">
                <c:v>1.278</c:v>
              </c:pt>
              <c:pt idx="204">
                <c:v>1.284</c:v>
              </c:pt>
              <c:pt idx="205">
                <c:v>1.2909999999999999</c:v>
              </c:pt>
              <c:pt idx="206">
                <c:v>1.2969999999999999</c:v>
              </c:pt>
              <c:pt idx="207">
                <c:v>1.3029999999999999</c:v>
              </c:pt>
              <c:pt idx="208">
                <c:v>1.31</c:v>
              </c:pt>
              <c:pt idx="209">
                <c:v>1.3160000000000001</c:v>
              </c:pt>
              <c:pt idx="210">
                <c:v>1.3220000000000001</c:v>
              </c:pt>
              <c:pt idx="211">
                <c:v>1.3280000000000001</c:v>
              </c:pt>
              <c:pt idx="212">
                <c:v>1.335</c:v>
              </c:pt>
              <c:pt idx="213">
                <c:v>1.341</c:v>
              </c:pt>
              <c:pt idx="214">
                <c:v>1.347</c:v>
              </c:pt>
              <c:pt idx="215">
                <c:v>1.353</c:v>
              </c:pt>
              <c:pt idx="216">
                <c:v>1.36</c:v>
              </c:pt>
              <c:pt idx="217">
                <c:v>1.3660000000000001</c:v>
              </c:pt>
              <c:pt idx="218">
                <c:v>1.3720000000000001</c:v>
              </c:pt>
              <c:pt idx="219">
                <c:v>1.3779999999999999</c:v>
              </c:pt>
              <c:pt idx="220">
                <c:v>1.385</c:v>
              </c:pt>
              <c:pt idx="221">
                <c:v>1.391</c:v>
              </c:pt>
              <c:pt idx="222">
                <c:v>1.397</c:v>
              </c:pt>
              <c:pt idx="223">
                <c:v>1.4039999999999999</c:v>
              </c:pt>
              <c:pt idx="224">
                <c:v>1.41</c:v>
              </c:pt>
              <c:pt idx="225">
                <c:v>1.4159999999999999</c:v>
              </c:pt>
              <c:pt idx="226">
                <c:v>1.4219999999999999</c:v>
              </c:pt>
              <c:pt idx="227">
                <c:v>1.429</c:v>
              </c:pt>
              <c:pt idx="228">
                <c:v>1.4350000000000001</c:v>
              </c:pt>
              <c:pt idx="229">
                <c:v>1.4410000000000001</c:v>
              </c:pt>
              <c:pt idx="230">
                <c:v>1.4470000000000001</c:v>
              </c:pt>
              <c:pt idx="231">
                <c:v>1.454</c:v>
              </c:pt>
              <c:pt idx="232">
                <c:v>1.46</c:v>
              </c:pt>
              <c:pt idx="233">
                <c:v>1.466</c:v>
              </c:pt>
              <c:pt idx="234">
                <c:v>1.472</c:v>
              </c:pt>
              <c:pt idx="235">
                <c:v>1.4790000000000001</c:v>
              </c:pt>
              <c:pt idx="236">
                <c:v>1.4850000000000001</c:v>
              </c:pt>
              <c:pt idx="237">
                <c:v>1.4910000000000001</c:v>
              </c:pt>
              <c:pt idx="238">
                <c:v>1.4970000000000001</c:v>
              </c:pt>
              <c:pt idx="239">
                <c:v>1.504</c:v>
              </c:pt>
              <c:pt idx="240">
                <c:v>1.51</c:v>
              </c:pt>
              <c:pt idx="241">
                <c:v>1.516</c:v>
              </c:pt>
              <c:pt idx="242">
                <c:v>1.5229999999999999</c:v>
              </c:pt>
              <c:pt idx="243">
                <c:v>1.5289999999999999</c:v>
              </c:pt>
              <c:pt idx="244">
                <c:v>1.5349999999999999</c:v>
              </c:pt>
              <c:pt idx="245">
                <c:v>1.5409999999999999</c:v>
              </c:pt>
              <c:pt idx="246">
                <c:v>1.548</c:v>
              </c:pt>
              <c:pt idx="247">
                <c:v>1.554</c:v>
              </c:pt>
              <c:pt idx="248">
                <c:v>1.56</c:v>
              </c:pt>
              <c:pt idx="249">
                <c:v>1.5660000000000001</c:v>
              </c:pt>
              <c:pt idx="250">
                <c:v>1.573</c:v>
              </c:pt>
              <c:pt idx="251">
                <c:v>1.579</c:v>
              </c:pt>
              <c:pt idx="252">
                <c:v>1.585</c:v>
              </c:pt>
              <c:pt idx="253">
                <c:v>1.591</c:v>
              </c:pt>
              <c:pt idx="254">
                <c:v>1.5980000000000001</c:v>
              </c:pt>
              <c:pt idx="255">
                <c:v>1.6040000000000001</c:v>
              </c:pt>
              <c:pt idx="256">
                <c:v>1.61</c:v>
              </c:pt>
              <c:pt idx="257">
                <c:v>1.617</c:v>
              </c:pt>
              <c:pt idx="258">
                <c:v>1.623</c:v>
              </c:pt>
              <c:pt idx="259">
                <c:v>1.629</c:v>
              </c:pt>
              <c:pt idx="260">
                <c:v>1.635</c:v>
              </c:pt>
              <c:pt idx="261">
                <c:v>1.6419999999999999</c:v>
              </c:pt>
              <c:pt idx="262">
                <c:v>1.6479999999999999</c:v>
              </c:pt>
              <c:pt idx="263">
                <c:v>1.6539999999999999</c:v>
              </c:pt>
              <c:pt idx="264">
                <c:v>1.66</c:v>
              </c:pt>
              <c:pt idx="265">
                <c:v>1.667</c:v>
              </c:pt>
              <c:pt idx="266">
                <c:v>1.673</c:v>
              </c:pt>
              <c:pt idx="267">
                <c:v>1.679</c:v>
              </c:pt>
              <c:pt idx="268">
                <c:v>1.6850000000000001</c:v>
              </c:pt>
              <c:pt idx="269">
                <c:v>1.6919999999999999</c:v>
              </c:pt>
              <c:pt idx="270">
                <c:v>1.698</c:v>
              </c:pt>
              <c:pt idx="271">
                <c:v>1.704</c:v>
              </c:pt>
              <c:pt idx="272">
                <c:v>1.7110000000000001</c:v>
              </c:pt>
              <c:pt idx="273">
                <c:v>1.7170000000000001</c:v>
              </c:pt>
              <c:pt idx="274">
                <c:v>1.7230000000000001</c:v>
              </c:pt>
              <c:pt idx="275">
                <c:v>1.7290000000000001</c:v>
              </c:pt>
              <c:pt idx="276">
                <c:v>1.736</c:v>
              </c:pt>
              <c:pt idx="277">
                <c:v>1.742</c:v>
              </c:pt>
              <c:pt idx="278">
                <c:v>1.748</c:v>
              </c:pt>
              <c:pt idx="279">
                <c:v>1.754</c:v>
              </c:pt>
              <c:pt idx="280">
                <c:v>1.7609999999999999</c:v>
              </c:pt>
              <c:pt idx="281">
                <c:v>1.7669999999999999</c:v>
              </c:pt>
              <c:pt idx="282">
                <c:v>1.7729999999999999</c:v>
              </c:pt>
              <c:pt idx="283">
                <c:v>1.7789999999999999</c:v>
              </c:pt>
              <c:pt idx="284">
                <c:v>1.786</c:v>
              </c:pt>
              <c:pt idx="285">
                <c:v>1.792</c:v>
              </c:pt>
              <c:pt idx="286">
                <c:v>1.798</c:v>
              </c:pt>
              <c:pt idx="287">
                <c:v>1.8049999999999999</c:v>
              </c:pt>
              <c:pt idx="288">
                <c:v>1.8109999999999999</c:v>
              </c:pt>
              <c:pt idx="289">
                <c:v>1.8169999999999999</c:v>
              </c:pt>
              <c:pt idx="290">
                <c:v>1.823</c:v>
              </c:pt>
              <c:pt idx="291">
                <c:v>1.83</c:v>
              </c:pt>
              <c:pt idx="292">
                <c:v>1.8360000000000001</c:v>
              </c:pt>
              <c:pt idx="293">
                <c:v>1.8420000000000001</c:v>
              </c:pt>
              <c:pt idx="294">
                <c:v>1.8480000000000001</c:v>
              </c:pt>
              <c:pt idx="295">
                <c:v>1.855</c:v>
              </c:pt>
              <c:pt idx="296">
                <c:v>1.861</c:v>
              </c:pt>
              <c:pt idx="297">
                <c:v>1.867</c:v>
              </c:pt>
              <c:pt idx="298">
                <c:v>1.873</c:v>
              </c:pt>
              <c:pt idx="299">
                <c:v>1.88</c:v>
              </c:pt>
              <c:pt idx="300">
                <c:v>1.8859999999999999</c:v>
              </c:pt>
              <c:pt idx="301">
                <c:v>1.8919999999999999</c:v>
              </c:pt>
              <c:pt idx="302">
                <c:v>1.8979999999999999</c:v>
              </c:pt>
              <c:pt idx="303">
                <c:v>1.905</c:v>
              </c:pt>
              <c:pt idx="304">
                <c:v>1.911</c:v>
              </c:pt>
              <c:pt idx="305">
                <c:v>1.917</c:v>
              </c:pt>
              <c:pt idx="306">
                <c:v>1.9239999999999999</c:v>
              </c:pt>
              <c:pt idx="307">
                <c:v>1.93</c:v>
              </c:pt>
              <c:pt idx="308">
                <c:v>1.9359999999999999</c:v>
              </c:pt>
              <c:pt idx="309">
                <c:v>1.9419999999999999</c:v>
              </c:pt>
              <c:pt idx="310">
                <c:v>1.9490000000000001</c:v>
              </c:pt>
              <c:pt idx="311">
                <c:v>1.9550000000000001</c:v>
              </c:pt>
              <c:pt idx="312">
                <c:v>1.9610000000000001</c:v>
              </c:pt>
              <c:pt idx="313">
                <c:v>1.9670000000000001</c:v>
              </c:pt>
              <c:pt idx="314">
                <c:v>1.974</c:v>
              </c:pt>
              <c:pt idx="315">
                <c:v>1.98</c:v>
              </c:pt>
              <c:pt idx="316">
                <c:v>1.986</c:v>
              </c:pt>
              <c:pt idx="317">
                <c:v>1.992</c:v>
              </c:pt>
              <c:pt idx="318">
                <c:v>1.9990000000000001</c:v>
              </c:pt>
              <c:pt idx="319">
                <c:v>2.0049999999999999</c:v>
              </c:pt>
              <c:pt idx="320">
                <c:v>2.0110000000000001</c:v>
              </c:pt>
              <c:pt idx="321">
                <c:v>2.0179999999999998</c:v>
              </c:pt>
              <c:pt idx="322">
                <c:v>2.024</c:v>
              </c:pt>
              <c:pt idx="323">
                <c:v>2.0299999999999998</c:v>
              </c:pt>
              <c:pt idx="324">
                <c:v>2.036</c:v>
              </c:pt>
              <c:pt idx="325">
                <c:v>2.0430000000000001</c:v>
              </c:pt>
              <c:pt idx="326">
                <c:v>2.0489999999999999</c:v>
              </c:pt>
              <c:pt idx="327">
                <c:v>2.0550000000000002</c:v>
              </c:pt>
              <c:pt idx="328">
                <c:v>2.0609999999999999</c:v>
              </c:pt>
              <c:pt idx="329">
                <c:v>2.0680000000000001</c:v>
              </c:pt>
              <c:pt idx="330">
                <c:v>2.0739999999999998</c:v>
              </c:pt>
              <c:pt idx="331">
                <c:v>2.08</c:v>
              </c:pt>
              <c:pt idx="332">
                <c:v>2.0859999999999999</c:v>
              </c:pt>
              <c:pt idx="333">
                <c:v>2.093</c:v>
              </c:pt>
              <c:pt idx="334">
                <c:v>2.0990000000000002</c:v>
              </c:pt>
              <c:pt idx="335">
                <c:v>2.105</c:v>
              </c:pt>
              <c:pt idx="336">
                <c:v>2.1120000000000001</c:v>
              </c:pt>
              <c:pt idx="337">
                <c:v>2.1179999999999999</c:v>
              </c:pt>
              <c:pt idx="338">
                <c:v>2.1240000000000001</c:v>
              </c:pt>
              <c:pt idx="339">
                <c:v>2.13</c:v>
              </c:pt>
              <c:pt idx="340">
                <c:v>2.137</c:v>
              </c:pt>
              <c:pt idx="341">
                <c:v>2.1429999999999998</c:v>
              </c:pt>
              <c:pt idx="342">
                <c:v>2.149</c:v>
              </c:pt>
              <c:pt idx="343">
                <c:v>2.1549999999999998</c:v>
              </c:pt>
              <c:pt idx="344">
                <c:v>2.1619999999999999</c:v>
              </c:pt>
              <c:pt idx="345">
                <c:v>2.1680000000000001</c:v>
              </c:pt>
              <c:pt idx="346">
                <c:v>2.1739999999999999</c:v>
              </c:pt>
              <c:pt idx="347">
                <c:v>2.1800000000000002</c:v>
              </c:pt>
              <c:pt idx="348">
                <c:v>2.1869999999999998</c:v>
              </c:pt>
              <c:pt idx="349">
                <c:v>2.1930000000000001</c:v>
              </c:pt>
              <c:pt idx="350">
                <c:v>2.1989999999999998</c:v>
              </c:pt>
              <c:pt idx="351">
                <c:v>2.206</c:v>
              </c:pt>
              <c:pt idx="352">
                <c:v>2.2120000000000002</c:v>
              </c:pt>
              <c:pt idx="353">
                <c:v>2.218</c:v>
              </c:pt>
              <c:pt idx="354">
                <c:v>2.2240000000000002</c:v>
              </c:pt>
              <c:pt idx="355">
                <c:v>2.2309999999999999</c:v>
              </c:pt>
              <c:pt idx="356">
                <c:v>2.2370000000000001</c:v>
              </c:pt>
              <c:pt idx="357">
                <c:v>2.2429999999999999</c:v>
              </c:pt>
              <c:pt idx="358">
                <c:v>2.2490000000000001</c:v>
              </c:pt>
              <c:pt idx="359">
                <c:v>2.2559999999999998</c:v>
              </c:pt>
              <c:pt idx="360">
                <c:v>2.262</c:v>
              </c:pt>
              <c:pt idx="361">
                <c:v>2.2679999999999998</c:v>
              </c:pt>
              <c:pt idx="362">
                <c:v>2.274</c:v>
              </c:pt>
              <c:pt idx="363">
                <c:v>2.2810000000000001</c:v>
              </c:pt>
              <c:pt idx="364">
                <c:v>2.2869999999999999</c:v>
              </c:pt>
              <c:pt idx="365">
                <c:v>2.2930000000000001</c:v>
              </c:pt>
              <c:pt idx="366">
                <c:v>2.2989999999999999</c:v>
              </c:pt>
              <c:pt idx="367">
                <c:v>2.306</c:v>
              </c:pt>
              <c:pt idx="368">
                <c:v>2.3119999999999998</c:v>
              </c:pt>
              <c:pt idx="369">
                <c:v>2.3180000000000001</c:v>
              </c:pt>
              <c:pt idx="370">
                <c:v>2.3250000000000002</c:v>
              </c:pt>
              <c:pt idx="371">
                <c:v>2.331</c:v>
              </c:pt>
              <c:pt idx="372">
                <c:v>2.3370000000000002</c:v>
              </c:pt>
              <c:pt idx="373">
                <c:v>2.343</c:v>
              </c:pt>
              <c:pt idx="374">
                <c:v>2.35</c:v>
              </c:pt>
              <c:pt idx="375">
                <c:v>2.3559999999999999</c:v>
              </c:pt>
              <c:pt idx="376">
                <c:v>2.3620000000000001</c:v>
              </c:pt>
              <c:pt idx="377">
                <c:v>2.3679999999999999</c:v>
              </c:pt>
              <c:pt idx="378">
                <c:v>2.375</c:v>
              </c:pt>
              <c:pt idx="379">
                <c:v>2.3809999999999998</c:v>
              </c:pt>
              <c:pt idx="380">
                <c:v>2.387</c:v>
              </c:pt>
              <c:pt idx="381">
                <c:v>2.3929999999999998</c:v>
              </c:pt>
              <c:pt idx="382">
                <c:v>2.4</c:v>
              </c:pt>
              <c:pt idx="383">
                <c:v>2.4060000000000001</c:v>
              </c:pt>
              <c:pt idx="384">
                <c:v>2.4119999999999999</c:v>
              </c:pt>
              <c:pt idx="385">
                <c:v>2.419</c:v>
              </c:pt>
              <c:pt idx="386">
                <c:v>2.4249999999999998</c:v>
              </c:pt>
              <c:pt idx="387">
                <c:v>2.431</c:v>
              </c:pt>
              <c:pt idx="388">
                <c:v>2.4369999999999998</c:v>
              </c:pt>
              <c:pt idx="389">
                <c:v>2.444</c:v>
              </c:pt>
              <c:pt idx="390">
                <c:v>2.4500000000000002</c:v>
              </c:pt>
              <c:pt idx="391">
                <c:v>2.456</c:v>
              </c:pt>
              <c:pt idx="392">
                <c:v>2.4620000000000002</c:v>
              </c:pt>
              <c:pt idx="393">
                <c:v>2.4689999999999999</c:v>
              </c:pt>
              <c:pt idx="394">
                <c:v>2.4750000000000001</c:v>
              </c:pt>
            </c:numLit>
          </c:xVal>
          <c:yVal>
            <c:numLit>
              <c:formatCode>General</c:formatCode>
              <c:ptCount val="39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58-4A70-B4E3-D37466BF5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8768"/>
        <c:axId val="1360899248"/>
      </c:scatterChart>
      <c:valAx>
        <c:axId val="1360898768"/>
        <c:scaling>
          <c:orientation val="minMax"/>
          <c:max val="2.474937343358395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underling 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9248"/>
        <c:crosses val="autoZero"/>
        <c:crossBetween val="midCat"/>
      </c:valAx>
      <c:valAx>
        <c:axId val="13608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6089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Exercice boundary for</a:t>
            </a:r>
            <a:r>
              <a:rPr lang="en-US" sz="1400" baseline="0"/>
              <a:t> american option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Exercice boundary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397"/>
              <c:pt idx="0">
                <c:v>44927</c:v>
              </c:pt>
              <c:pt idx="1">
                <c:v>44927.912499999999</c:v>
              </c:pt>
              <c:pt idx="2">
                <c:v>44928.824999999997</c:v>
              </c:pt>
              <c:pt idx="3">
                <c:v>44929.737500000003</c:v>
              </c:pt>
              <c:pt idx="4">
                <c:v>44930.65</c:v>
              </c:pt>
              <c:pt idx="5">
                <c:v>44931.5625</c:v>
              </c:pt>
              <c:pt idx="6">
                <c:v>44932.474999999999</c:v>
              </c:pt>
              <c:pt idx="7">
                <c:v>44933.387499999997</c:v>
              </c:pt>
              <c:pt idx="8">
                <c:v>44934.3</c:v>
              </c:pt>
              <c:pt idx="9">
                <c:v>44935.212500000001</c:v>
              </c:pt>
              <c:pt idx="10">
                <c:v>44936.125</c:v>
              </c:pt>
              <c:pt idx="11">
                <c:v>44937.037499999999</c:v>
              </c:pt>
              <c:pt idx="12">
                <c:v>44937.95</c:v>
              </c:pt>
              <c:pt idx="13">
                <c:v>44938.862500000003</c:v>
              </c:pt>
              <c:pt idx="14">
                <c:v>44939.775000000001</c:v>
              </c:pt>
              <c:pt idx="15">
                <c:v>44940.6875</c:v>
              </c:pt>
              <c:pt idx="16">
                <c:v>44941.599999999999</c:v>
              </c:pt>
              <c:pt idx="17">
                <c:v>44942.512499999997</c:v>
              </c:pt>
              <c:pt idx="18">
                <c:v>44943.425000000003</c:v>
              </c:pt>
              <c:pt idx="19">
                <c:v>44944.337500000001</c:v>
              </c:pt>
              <c:pt idx="20">
                <c:v>44945.25</c:v>
              </c:pt>
              <c:pt idx="21">
                <c:v>44946.162499999999</c:v>
              </c:pt>
              <c:pt idx="22">
                <c:v>44947.074999999997</c:v>
              </c:pt>
              <c:pt idx="23">
                <c:v>44947.987500000003</c:v>
              </c:pt>
              <c:pt idx="24">
                <c:v>44948.9</c:v>
              </c:pt>
              <c:pt idx="25">
                <c:v>44949.8125</c:v>
              </c:pt>
              <c:pt idx="26">
                <c:v>44950.724999999999</c:v>
              </c:pt>
              <c:pt idx="27">
                <c:v>44951.637499999997</c:v>
              </c:pt>
              <c:pt idx="28">
                <c:v>44952.55</c:v>
              </c:pt>
              <c:pt idx="29">
                <c:v>44953.462500000001</c:v>
              </c:pt>
              <c:pt idx="30">
                <c:v>44954.375</c:v>
              </c:pt>
              <c:pt idx="31">
                <c:v>44955.287499999999</c:v>
              </c:pt>
              <c:pt idx="32">
                <c:v>44956.2</c:v>
              </c:pt>
              <c:pt idx="33">
                <c:v>44957.112500000003</c:v>
              </c:pt>
              <c:pt idx="34">
                <c:v>44958.025000000001</c:v>
              </c:pt>
              <c:pt idx="35">
                <c:v>44958.9375</c:v>
              </c:pt>
              <c:pt idx="36">
                <c:v>44959.85</c:v>
              </c:pt>
              <c:pt idx="37">
                <c:v>44960.762499999997</c:v>
              </c:pt>
              <c:pt idx="38">
                <c:v>44961.675000000003</c:v>
              </c:pt>
              <c:pt idx="39">
                <c:v>44962.587500000001</c:v>
              </c:pt>
              <c:pt idx="40">
                <c:v>44963.5</c:v>
              </c:pt>
              <c:pt idx="41">
                <c:v>44964.412499999999</c:v>
              </c:pt>
              <c:pt idx="42">
                <c:v>44965.324999999997</c:v>
              </c:pt>
              <c:pt idx="43">
                <c:v>44966.237500000003</c:v>
              </c:pt>
              <c:pt idx="44">
                <c:v>44967.15</c:v>
              </c:pt>
              <c:pt idx="45">
                <c:v>44968.0625</c:v>
              </c:pt>
              <c:pt idx="46">
                <c:v>44968.974999999999</c:v>
              </c:pt>
              <c:pt idx="47">
                <c:v>44969.887499999997</c:v>
              </c:pt>
              <c:pt idx="48">
                <c:v>44970.8</c:v>
              </c:pt>
              <c:pt idx="49">
                <c:v>44971.712500000001</c:v>
              </c:pt>
              <c:pt idx="50">
                <c:v>44972.625</c:v>
              </c:pt>
              <c:pt idx="51">
                <c:v>44973.537499999999</c:v>
              </c:pt>
              <c:pt idx="52">
                <c:v>44974.45</c:v>
              </c:pt>
              <c:pt idx="53">
                <c:v>44975.362500000003</c:v>
              </c:pt>
              <c:pt idx="54">
                <c:v>44976.275000000001</c:v>
              </c:pt>
              <c:pt idx="55">
                <c:v>44977.1875</c:v>
              </c:pt>
              <c:pt idx="56">
                <c:v>44978.1</c:v>
              </c:pt>
              <c:pt idx="57">
                <c:v>44979.012499999997</c:v>
              </c:pt>
              <c:pt idx="58">
                <c:v>44979.925000000003</c:v>
              </c:pt>
              <c:pt idx="59">
                <c:v>44980.837500000001</c:v>
              </c:pt>
              <c:pt idx="60">
                <c:v>44981.75</c:v>
              </c:pt>
              <c:pt idx="61">
                <c:v>44982.662499999999</c:v>
              </c:pt>
              <c:pt idx="62">
                <c:v>44983.574999999997</c:v>
              </c:pt>
              <c:pt idx="63">
                <c:v>44984.487500000003</c:v>
              </c:pt>
              <c:pt idx="64">
                <c:v>44985.4</c:v>
              </c:pt>
              <c:pt idx="65">
                <c:v>44986.3125</c:v>
              </c:pt>
              <c:pt idx="66">
                <c:v>44987.224999999999</c:v>
              </c:pt>
              <c:pt idx="67">
                <c:v>44988.137499999997</c:v>
              </c:pt>
              <c:pt idx="68">
                <c:v>44989.05</c:v>
              </c:pt>
              <c:pt idx="69">
                <c:v>44989.962500000001</c:v>
              </c:pt>
              <c:pt idx="70">
                <c:v>44990.875</c:v>
              </c:pt>
              <c:pt idx="71">
                <c:v>44991.787499999999</c:v>
              </c:pt>
              <c:pt idx="72">
                <c:v>44992.7</c:v>
              </c:pt>
              <c:pt idx="73">
                <c:v>44993.612500000003</c:v>
              </c:pt>
              <c:pt idx="74">
                <c:v>44994.525000000001</c:v>
              </c:pt>
              <c:pt idx="75">
                <c:v>44995.4375</c:v>
              </c:pt>
              <c:pt idx="76">
                <c:v>44996.35</c:v>
              </c:pt>
              <c:pt idx="77">
                <c:v>44997.262499999997</c:v>
              </c:pt>
              <c:pt idx="78">
                <c:v>44998.175000000003</c:v>
              </c:pt>
              <c:pt idx="79">
                <c:v>44999.087500000001</c:v>
              </c:pt>
              <c:pt idx="80">
                <c:v>45000</c:v>
              </c:pt>
              <c:pt idx="81">
                <c:v>45000.912499999999</c:v>
              </c:pt>
              <c:pt idx="82">
                <c:v>45001.824999999997</c:v>
              </c:pt>
              <c:pt idx="83">
                <c:v>45002.737500000003</c:v>
              </c:pt>
              <c:pt idx="84">
                <c:v>45003.65</c:v>
              </c:pt>
              <c:pt idx="85">
                <c:v>45004.5625</c:v>
              </c:pt>
              <c:pt idx="86">
                <c:v>45005.474999999999</c:v>
              </c:pt>
              <c:pt idx="87">
                <c:v>45006.387499999997</c:v>
              </c:pt>
              <c:pt idx="88">
                <c:v>45007.3</c:v>
              </c:pt>
              <c:pt idx="89">
                <c:v>45008.212500000001</c:v>
              </c:pt>
              <c:pt idx="90">
                <c:v>45009.125</c:v>
              </c:pt>
              <c:pt idx="91">
                <c:v>45010.037499999999</c:v>
              </c:pt>
              <c:pt idx="92">
                <c:v>45010.95</c:v>
              </c:pt>
              <c:pt idx="93">
                <c:v>45011.862500000003</c:v>
              </c:pt>
              <c:pt idx="94">
                <c:v>45012.775000000001</c:v>
              </c:pt>
              <c:pt idx="95">
                <c:v>45013.6875</c:v>
              </c:pt>
              <c:pt idx="96">
                <c:v>45014.6</c:v>
              </c:pt>
              <c:pt idx="97">
                <c:v>45015.512499999997</c:v>
              </c:pt>
              <c:pt idx="98">
                <c:v>45016.425000000003</c:v>
              </c:pt>
              <c:pt idx="99">
                <c:v>45017.337500000001</c:v>
              </c:pt>
              <c:pt idx="100">
                <c:v>45018.25</c:v>
              </c:pt>
              <c:pt idx="101">
                <c:v>45019.162499999999</c:v>
              </c:pt>
              <c:pt idx="102">
                <c:v>45020.074999999997</c:v>
              </c:pt>
              <c:pt idx="103">
                <c:v>45020.987500000003</c:v>
              </c:pt>
              <c:pt idx="104">
                <c:v>45021.9</c:v>
              </c:pt>
              <c:pt idx="105">
                <c:v>45022.8125</c:v>
              </c:pt>
              <c:pt idx="106">
                <c:v>45023.724999999999</c:v>
              </c:pt>
              <c:pt idx="107">
                <c:v>45024.637499999997</c:v>
              </c:pt>
              <c:pt idx="108">
                <c:v>45025.55</c:v>
              </c:pt>
              <c:pt idx="109">
                <c:v>45026.462500000001</c:v>
              </c:pt>
              <c:pt idx="110">
                <c:v>45027.375</c:v>
              </c:pt>
              <c:pt idx="111">
                <c:v>45028.287499999999</c:v>
              </c:pt>
              <c:pt idx="112">
                <c:v>45029.2</c:v>
              </c:pt>
              <c:pt idx="113">
                <c:v>45030.112500000003</c:v>
              </c:pt>
              <c:pt idx="114">
                <c:v>45031.025000000001</c:v>
              </c:pt>
              <c:pt idx="115">
                <c:v>45031.9375</c:v>
              </c:pt>
              <c:pt idx="116">
                <c:v>45032.85</c:v>
              </c:pt>
              <c:pt idx="117">
                <c:v>45033.762499999997</c:v>
              </c:pt>
              <c:pt idx="118">
                <c:v>45034.675000000003</c:v>
              </c:pt>
              <c:pt idx="119">
                <c:v>45035.587500000001</c:v>
              </c:pt>
              <c:pt idx="120">
                <c:v>45036.5</c:v>
              </c:pt>
              <c:pt idx="121">
                <c:v>45037.412499999999</c:v>
              </c:pt>
              <c:pt idx="122">
                <c:v>45038.324999999997</c:v>
              </c:pt>
              <c:pt idx="123">
                <c:v>45039.237500000003</c:v>
              </c:pt>
              <c:pt idx="124">
                <c:v>45040.15</c:v>
              </c:pt>
              <c:pt idx="125">
                <c:v>45041.0625</c:v>
              </c:pt>
              <c:pt idx="126">
                <c:v>45041.974999999999</c:v>
              </c:pt>
              <c:pt idx="127">
                <c:v>45042.887499999997</c:v>
              </c:pt>
              <c:pt idx="128">
                <c:v>45043.8</c:v>
              </c:pt>
              <c:pt idx="129">
                <c:v>45044.712500000001</c:v>
              </c:pt>
              <c:pt idx="130">
                <c:v>45045.625</c:v>
              </c:pt>
              <c:pt idx="131">
                <c:v>45046.537499999999</c:v>
              </c:pt>
              <c:pt idx="132">
                <c:v>45047.45</c:v>
              </c:pt>
              <c:pt idx="133">
                <c:v>45048.362500000003</c:v>
              </c:pt>
              <c:pt idx="134">
                <c:v>45049.275000000001</c:v>
              </c:pt>
              <c:pt idx="135">
                <c:v>45050.1875</c:v>
              </c:pt>
              <c:pt idx="136">
                <c:v>45051.1</c:v>
              </c:pt>
              <c:pt idx="137">
                <c:v>45052.012499999997</c:v>
              </c:pt>
              <c:pt idx="138">
                <c:v>45052.925000000003</c:v>
              </c:pt>
              <c:pt idx="139">
                <c:v>45053.837500000001</c:v>
              </c:pt>
              <c:pt idx="140">
                <c:v>45054.75</c:v>
              </c:pt>
              <c:pt idx="141">
                <c:v>45055.662499999999</c:v>
              </c:pt>
              <c:pt idx="142">
                <c:v>45056.574999999997</c:v>
              </c:pt>
              <c:pt idx="143">
                <c:v>45057.487500000003</c:v>
              </c:pt>
              <c:pt idx="144">
                <c:v>45058.400000000001</c:v>
              </c:pt>
              <c:pt idx="145">
                <c:v>45059.3125</c:v>
              </c:pt>
              <c:pt idx="146">
                <c:v>45060.224999999999</c:v>
              </c:pt>
              <c:pt idx="147">
                <c:v>45061.137499999997</c:v>
              </c:pt>
              <c:pt idx="148">
                <c:v>45062.05</c:v>
              </c:pt>
              <c:pt idx="149">
                <c:v>45062.962500000001</c:v>
              </c:pt>
              <c:pt idx="150">
                <c:v>45063.875</c:v>
              </c:pt>
              <c:pt idx="151">
                <c:v>45064.787499999999</c:v>
              </c:pt>
              <c:pt idx="152">
                <c:v>45065.7</c:v>
              </c:pt>
              <c:pt idx="153">
                <c:v>45066.612500000003</c:v>
              </c:pt>
              <c:pt idx="154">
                <c:v>45067.525000000001</c:v>
              </c:pt>
              <c:pt idx="155">
                <c:v>45068.4375</c:v>
              </c:pt>
              <c:pt idx="156">
                <c:v>45069.35</c:v>
              </c:pt>
              <c:pt idx="157">
                <c:v>45070.262499999997</c:v>
              </c:pt>
              <c:pt idx="158">
                <c:v>45071.175000000003</c:v>
              </c:pt>
              <c:pt idx="159">
                <c:v>45072.087500000001</c:v>
              </c:pt>
              <c:pt idx="160">
                <c:v>45073</c:v>
              </c:pt>
              <c:pt idx="161">
                <c:v>45073.912499999999</c:v>
              </c:pt>
              <c:pt idx="162">
                <c:v>45074.824999999997</c:v>
              </c:pt>
              <c:pt idx="163">
                <c:v>45075.737500000003</c:v>
              </c:pt>
              <c:pt idx="164">
                <c:v>45076.65</c:v>
              </c:pt>
              <c:pt idx="165">
                <c:v>45077.5625</c:v>
              </c:pt>
              <c:pt idx="166">
                <c:v>45078.474999999999</c:v>
              </c:pt>
              <c:pt idx="167">
                <c:v>45079.387499999997</c:v>
              </c:pt>
              <c:pt idx="168">
                <c:v>45080.3</c:v>
              </c:pt>
              <c:pt idx="169">
                <c:v>45081.212500000001</c:v>
              </c:pt>
              <c:pt idx="170">
                <c:v>45082.125</c:v>
              </c:pt>
              <c:pt idx="171">
                <c:v>45083.037499999999</c:v>
              </c:pt>
              <c:pt idx="172">
                <c:v>45083.95</c:v>
              </c:pt>
              <c:pt idx="173">
                <c:v>45084.862500000003</c:v>
              </c:pt>
              <c:pt idx="174">
                <c:v>45085.775000000001</c:v>
              </c:pt>
              <c:pt idx="175">
                <c:v>45086.6875</c:v>
              </c:pt>
              <c:pt idx="176">
                <c:v>45087.6</c:v>
              </c:pt>
              <c:pt idx="177">
                <c:v>45088.512499999997</c:v>
              </c:pt>
              <c:pt idx="178">
                <c:v>45089.425000000003</c:v>
              </c:pt>
              <c:pt idx="179">
                <c:v>45090.337500000001</c:v>
              </c:pt>
              <c:pt idx="180">
                <c:v>45091.25</c:v>
              </c:pt>
              <c:pt idx="181">
                <c:v>45092.162499999999</c:v>
              </c:pt>
              <c:pt idx="182">
                <c:v>45093.074999999997</c:v>
              </c:pt>
              <c:pt idx="183">
                <c:v>45093.987500000003</c:v>
              </c:pt>
              <c:pt idx="184">
                <c:v>45094.9</c:v>
              </c:pt>
              <c:pt idx="185">
                <c:v>45095.8125</c:v>
              </c:pt>
              <c:pt idx="186">
                <c:v>45096.724999999999</c:v>
              </c:pt>
              <c:pt idx="187">
                <c:v>45097.637499999997</c:v>
              </c:pt>
              <c:pt idx="188">
                <c:v>45098.55</c:v>
              </c:pt>
              <c:pt idx="189">
                <c:v>45099.462500000001</c:v>
              </c:pt>
              <c:pt idx="190">
                <c:v>45100.375</c:v>
              </c:pt>
              <c:pt idx="191">
                <c:v>45101.287499999999</c:v>
              </c:pt>
              <c:pt idx="192">
                <c:v>45102.2</c:v>
              </c:pt>
              <c:pt idx="193">
                <c:v>45103.112500000003</c:v>
              </c:pt>
              <c:pt idx="194">
                <c:v>45104.025000000001</c:v>
              </c:pt>
              <c:pt idx="195">
                <c:v>45104.9375</c:v>
              </c:pt>
              <c:pt idx="196">
                <c:v>45105.85</c:v>
              </c:pt>
              <c:pt idx="197">
                <c:v>45106.762499999997</c:v>
              </c:pt>
              <c:pt idx="198">
                <c:v>45107.675000000003</c:v>
              </c:pt>
              <c:pt idx="199">
                <c:v>45108.587500000001</c:v>
              </c:pt>
              <c:pt idx="200">
                <c:v>45109.5</c:v>
              </c:pt>
              <c:pt idx="201">
                <c:v>45110.412499999999</c:v>
              </c:pt>
              <c:pt idx="202">
                <c:v>45111.324999999997</c:v>
              </c:pt>
              <c:pt idx="203">
                <c:v>45112.237500000003</c:v>
              </c:pt>
              <c:pt idx="204">
                <c:v>45113.15</c:v>
              </c:pt>
              <c:pt idx="205">
                <c:v>45114.0625</c:v>
              </c:pt>
              <c:pt idx="206">
                <c:v>45114.974999999999</c:v>
              </c:pt>
              <c:pt idx="207">
                <c:v>45115.887499999997</c:v>
              </c:pt>
              <c:pt idx="208">
                <c:v>45116.800000000003</c:v>
              </c:pt>
              <c:pt idx="209">
                <c:v>45117.712500000001</c:v>
              </c:pt>
              <c:pt idx="210">
                <c:v>45118.625</c:v>
              </c:pt>
              <c:pt idx="211">
                <c:v>45119.537499999999</c:v>
              </c:pt>
              <c:pt idx="212">
                <c:v>45120.45</c:v>
              </c:pt>
              <c:pt idx="213">
                <c:v>45121.362500000003</c:v>
              </c:pt>
              <c:pt idx="214">
                <c:v>45122.275000000001</c:v>
              </c:pt>
              <c:pt idx="215">
                <c:v>45123.1875</c:v>
              </c:pt>
              <c:pt idx="216">
                <c:v>45124.1</c:v>
              </c:pt>
              <c:pt idx="217">
                <c:v>45125.012499999997</c:v>
              </c:pt>
              <c:pt idx="218">
                <c:v>45125.925000000003</c:v>
              </c:pt>
              <c:pt idx="219">
                <c:v>45126.837500000001</c:v>
              </c:pt>
              <c:pt idx="220">
                <c:v>45127.75</c:v>
              </c:pt>
              <c:pt idx="221">
                <c:v>45128.662499999999</c:v>
              </c:pt>
              <c:pt idx="222">
                <c:v>45129.574999999997</c:v>
              </c:pt>
              <c:pt idx="223">
                <c:v>45130.487500000003</c:v>
              </c:pt>
              <c:pt idx="224">
                <c:v>45131.4</c:v>
              </c:pt>
              <c:pt idx="225">
                <c:v>45132.3125</c:v>
              </c:pt>
              <c:pt idx="226">
                <c:v>45133.224999999999</c:v>
              </c:pt>
              <c:pt idx="227">
                <c:v>45134.137499999997</c:v>
              </c:pt>
              <c:pt idx="228">
                <c:v>45135.05</c:v>
              </c:pt>
              <c:pt idx="229">
                <c:v>45135.962500000001</c:v>
              </c:pt>
              <c:pt idx="230">
                <c:v>45136.875</c:v>
              </c:pt>
              <c:pt idx="231">
                <c:v>45137.787499999999</c:v>
              </c:pt>
              <c:pt idx="232">
                <c:v>45138.7</c:v>
              </c:pt>
              <c:pt idx="233">
                <c:v>45139.612500000003</c:v>
              </c:pt>
              <c:pt idx="234">
                <c:v>45140.525000000001</c:v>
              </c:pt>
              <c:pt idx="235">
                <c:v>45141.4375</c:v>
              </c:pt>
              <c:pt idx="236">
                <c:v>45142.35</c:v>
              </c:pt>
              <c:pt idx="237">
                <c:v>45143.262499999997</c:v>
              </c:pt>
              <c:pt idx="238">
                <c:v>45144.175000000003</c:v>
              </c:pt>
              <c:pt idx="239">
                <c:v>45145.087500000001</c:v>
              </c:pt>
              <c:pt idx="240">
                <c:v>45146</c:v>
              </c:pt>
              <c:pt idx="241">
                <c:v>45146.912499999999</c:v>
              </c:pt>
              <c:pt idx="242">
                <c:v>45147.824999999997</c:v>
              </c:pt>
              <c:pt idx="243">
                <c:v>45148.737500000003</c:v>
              </c:pt>
              <c:pt idx="244">
                <c:v>45149.65</c:v>
              </c:pt>
              <c:pt idx="245">
                <c:v>45150.5625</c:v>
              </c:pt>
              <c:pt idx="246">
                <c:v>45151.474999999999</c:v>
              </c:pt>
              <c:pt idx="247">
                <c:v>45152.387499999997</c:v>
              </c:pt>
              <c:pt idx="248">
                <c:v>45153.3</c:v>
              </c:pt>
              <c:pt idx="249">
                <c:v>45154.212500000001</c:v>
              </c:pt>
              <c:pt idx="250">
                <c:v>45155.125</c:v>
              </c:pt>
              <c:pt idx="251">
                <c:v>45156.037499999999</c:v>
              </c:pt>
              <c:pt idx="252">
                <c:v>45156.95</c:v>
              </c:pt>
              <c:pt idx="253">
                <c:v>45157.862500000003</c:v>
              </c:pt>
              <c:pt idx="254">
                <c:v>45158.775000000001</c:v>
              </c:pt>
              <c:pt idx="255">
                <c:v>45159.6875</c:v>
              </c:pt>
              <c:pt idx="256">
                <c:v>45160.6</c:v>
              </c:pt>
              <c:pt idx="257">
                <c:v>45161.512499999997</c:v>
              </c:pt>
              <c:pt idx="258">
                <c:v>45162.425000000003</c:v>
              </c:pt>
              <c:pt idx="259">
                <c:v>45163.337500000001</c:v>
              </c:pt>
              <c:pt idx="260">
                <c:v>45164.25</c:v>
              </c:pt>
              <c:pt idx="261">
                <c:v>45165.162499999999</c:v>
              </c:pt>
              <c:pt idx="262">
                <c:v>45166.074999999997</c:v>
              </c:pt>
              <c:pt idx="263">
                <c:v>45166.987500000003</c:v>
              </c:pt>
              <c:pt idx="264">
                <c:v>45167.9</c:v>
              </c:pt>
              <c:pt idx="265">
                <c:v>45168.8125</c:v>
              </c:pt>
              <c:pt idx="266">
                <c:v>45169.724999999999</c:v>
              </c:pt>
              <c:pt idx="267">
                <c:v>45170.637499999997</c:v>
              </c:pt>
              <c:pt idx="268">
                <c:v>45171.55</c:v>
              </c:pt>
              <c:pt idx="269">
                <c:v>45172.462500000001</c:v>
              </c:pt>
              <c:pt idx="270">
                <c:v>45173.375</c:v>
              </c:pt>
              <c:pt idx="271">
                <c:v>45174.287499999999</c:v>
              </c:pt>
              <c:pt idx="272">
                <c:v>45175.199999999997</c:v>
              </c:pt>
              <c:pt idx="273">
                <c:v>45176.112500000003</c:v>
              </c:pt>
              <c:pt idx="274">
                <c:v>45177.025000000001</c:v>
              </c:pt>
              <c:pt idx="275">
                <c:v>45177.9375</c:v>
              </c:pt>
              <c:pt idx="276">
                <c:v>45178.85</c:v>
              </c:pt>
              <c:pt idx="277">
                <c:v>45179.762499999997</c:v>
              </c:pt>
              <c:pt idx="278">
                <c:v>45180.675000000003</c:v>
              </c:pt>
              <c:pt idx="279">
                <c:v>45181.587500000001</c:v>
              </c:pt>
              <c:pt idx="280">
                <c:v>45182.5</c:v>
              </c:pt>
              <c:pt idx="281">
                <c:v>45183.412499999999</c:v>
              </c:pt>
              <c:pt idx="282">
                <c:v>45184.324999999997</c:v>
              </c:pt>
              <c:pt idx="283">
                <c:v>45185.237500000003</c:v>
              </c:pt>
              <c:pt idx="284">
                <c:v>45186.15</c:v>
              </c:pt>
              <c:pt idx="285">
                <c:v>45187.0625</c:v>
              </c:pt>
              <c:pt idx="286">
                <c:v>45187.974999999999</c:v>
              </c:pt>
              <c:pt idx="287">
                <c:v>45188.887499999997</c:v>
              </c:pt>
              <c:pt idx="288">
                <c:v>45189.8</c:v>
              </c:pt>
              <c:pt idx="289">
                <c:v>45190.712500000001</c:v>
              </c:pt>
              <c:pt idx="290">
                <c:v>45191.625</c:v>
              </c:pt>
              <c:pt idx="291">
                <c:v>45192.537499999999</c:v>
              </c:pt>
              <c:pt idx="292">
                <c:v>45193.45</c:v>
              </c:pt>
              <c:pt idx="293">
                <c:v>45194.362500000003</c:v>
              </c:pt>
              <c:pt idx="294">
                <c:v>45195.275000000001</c:v>
              </c:pt>
              <c:pt idx="295">
                <c:v>45196.1875</c:v>
              </c:pt>
              <c:pt idx="296">
                <c:v>45197.1</c:v>
              </c:pt>
              <c:pt idx="297">
                <c:v>45198.012499999997</c:v>
              </c:pt>
              <c:pt idx="298">
                <c:v>45198.925000000003</c:v>
              </c:pt>
              <c:pt idx="299">
                <c:v>45199.837500000001</c:v>
              </c:pt>
              <c:pt idx="300">
                <c:v>45200.75</c:v>
              </c:pt>
              <c:pt idx="301">
                <c:v>45201.662499999999</c:v>
              </c:pt>
              <c:pt idx="302">
                <c:v>45202.574999999997</c:v>
              </c:pt>
              <c:pt idx="303">
                <c:v>45203.487500000003</c:v>
              </c:pt>
              <c:pt idx="304">
                <c:v>45204.4</c:v>
              </c:pt>
              <c:pt idx="305">
                <c:v>45205.3125</c:v>
              </c:pt>
              <c:pt idx="306">
                <c:v>45206.224999999999</c:v>
              </c:pt>
              <c:pt idx="307">
                <c:v>45207.137499999997</c:v>
              </c:pt>
              <c:pt idx="308">
                <c:v>45208.05</c:v>
              </c:pt>
              <c:pt idx="309">
                <c:v>45208.962500000001</c:v>
              </c:pt>
              <c:pt idx="310">
                <c:v>45209.875</c:v>
              </c:pt>
              <c:pt idx="311">
                <c:v>45210.787499999999</c:v>
              </c:pt>
              <c:pt idx="312">
                <c:v>45211.7</c:v>
              </c:pt>
              <c:pt idx="313">
                <c:v>45212.612500000003</c:v>
              </c:pt>
              <c:pt idx="314">
                <c:v>45213.525000000001</c:v>
              </c:pt>
              <c:pt idx="315">
                <c:v>45214.4375</c:v>
              </c:pt>
              <c:pt idx="316">
                <c:v>45215.35</c:v>
              </c:pt>
              <c:pt idx="317">
                <c:v>45216.262499999997</c:v>
              </c:pt>
              <c:pt idx="318">
                <c:v>45217.175000000003</c:v>
              </c:pt>
              <c:pt idx="319">
                <c:v>45218.087500000001</c:v>
              </c:pt>
              <c:pt idx="320">
                <c:v>45219</c:v>
              </c:pt>
              <c:pt idx="321">
                <c:v>45219.912499999999</c:v>
              </c:pt>
              <c:pt idx="322">
                <c:v>45220.824999999997</c:v>
              </c:pt>
              <c:pt idx="323">
                <c:v>45221.737500000003</c:v>
              </c:pt>
              <c:pt idx="324">
                <c:v>45222.65</c:v>
              </c:pt>
              <c:pt idx="325">
                <c:v>45223.5625</c:v>
              </c:pt>
              <c:pt idx="326">
                <c:v>45224.474999999999</c:v>
              </c:pt>
              <c:pt idx="327">
                <c:v>45225.387499999997</c:v>
              </c:pt>
              <c:pt idx="328">
                <c:v>45226.3</c:v>
              </c:pt>
              <c:pt idx="329">
                <c:v>45227.212500000001</c:v>
              </c:pt>
              <c:pt idx="330">
                <c:v>45228.125</c:v>
              </c:pt>
              <c:pt idx="331">
                <c:v>45229.037499999999</c:v>
              </c:pt>
              <c:pt idx="332">
                <c:v>45229.95</c:v>
              </c:pt>
              <c:pt idx="333">
                <c:v>45230.862500000003</c:v>
              </c:pt>
              <c:pt idx="334">
                <c:v>45231.775000000001</c:v>
              </c:pt>
              <c:pt idx="335">
                <c:v>45232.6875</c:v>
              </c:pt>
              <c:pt idx="336">
                <c:v>45233.599999999999</c:v>
              </c:pt>
              <c:pt idx="337">
                <c:v>45234.512499999997</c:v>
              </c:pt>
              <c:pt idx="338">
                <c:v>45235.425000000003</c:v>
              </c:pt>
              <c:pt idx="339">
                <c:v>45236.337500000001</c:v>
              </c:pt>
              <c:pt idx="340">
                <c:v>45237.25</c:v>
              </c:pt>
              <c:pt idx="341">
                <c:v>45238.162499999999</c:v>
              </c:pt>
              <c:pt idx="342">
                <c:v>45239.074999999997</c:v>
              </c:pt>
              <c:pt idx="343">
                <c:v>45239.987500000003</c:v>
              </c:pt>
              <c:pt idx="344">
                <c:v>45240.9</c:v>
              </c:pt>
              <c:pt idx="345">
                <c:v>45241.8125</c:v>
              </c:pt>
              <c:pt idx="346">
                <c:v>45242.724999999999</c:v>
              </c:pt>
              <c:pt idx="347">
                <c:v>45243.637499999997</c:v>
              </c:pt>
              <c:pt idx="348">
                <c:v>45244.55</c:v>
              </c:pt>
              <c:pt idx="349">
                <c:v>45245.462500000001</c:v>
              </c:pt>
              <c:pt idx="350">
                <c:v>45246.375</c:v>
              </c:pt>
              <c:pt idx="351">
                <c:v>45247.287499999999</c:v>
              </c:pt>
              <c:pt idx="352">
                <c:v>45248.2</c:v>
              </c:pt>
              <c:pt idx="353">
                <c:v>45249.112500000003</c:v>
              </c:pt>
              <c:pt idx="354">
                <c:v>45250.025000000001</c:v>
              </c:pt>
              <c:pt idx="355">
                <c:v>45250.9375</c:v>
              </c:pt>
              <c:pt idx="356">
                <c:v>45251.85</c:v>
              </c:pt>
              <c:pt idx="357">
                <c:v>45252.762499999997</c:v>
              </c:pt>
              <c:pt idx="358">
                <c:v>45253.675000000003</c:v>
              </c:pt>
              <c:pt idx="359">
                <c:v>45254.587500000001</c:v>
              </c:pt>
              <c:pt idx="360">
                <c:v>45255.5</c:v>
              </c:pt>
              <c:pt idx="361">
                <c:v>45256.412499999999</c:v>
              </c:pt>
              <c:pt idx="362">
                <c:v>45257.324999999997</c:v>
              </c:pt>
              <c:pt idx="363">
                <c:v>45258.237500000003</c:v>
              </c:pt>
              <c:pt idx="364">
                <c:v>45259.15</c:v>
              </c:pt>
              <c:pt idx="365">
                <c:v>45260.0625</c:v>
              </c:pt>
              <c:pt idx="366">
                <c:v>45260.974999999999</c:v>
              </c:pt>
              <c:pt idx="367">
                <c:v>45261.887499999997</c:v>
              </c:pt>
              <c:pt idx="368">
                <c:v>45262.8</c:v>
              </c:pt>
              <c:pt idx="369">
                <c:v>45263.712500000001</c:v>
              </c:pt>
              <c:pt idx="370">
                <c:v>45264.625</c:v>
              </c:pt>
              <c:pt idx="371">
                <c:v>45265.537499999999</c:v>
              </c:pt>
              <c:pt idx="372">
                <c:v>45266.45</c:v>
              </c:pt>
              <c:pt idx="373">
                <c:v>45267.362500000003</c:v>
              </c:pt>
              <c:pt idx="374">
                <c:v>45268.275000000001</c:v>
              </c:pt>
              <c:pt idx="375">
                <c:v>45269.1875</c:v>
              </c:pt>
              <c:pt idx="376">
                <c:v>45270.1</c:v>
              </c:pt>
              <c:pt idx="377">
                <c:v>45271.012499999997</c:v>
              </c:pt>
              <c:pt idx="378">
                <c:v>45271.925000000003</c:v>
              </c:pt>
              <c:pt idx="379">
                <c:v>45272.837500000001</c:v>
              </c:pt>
              <c:pt idx="380">
                <c:v>45273.75</c:v>
              </c:pt>
              <c:pt idx="381">
                <c:v>45274.662499999999</c:v>
              </c:pt>
              <c:pt idx="382">
                <c:v>45275.574999999997</c:v>
              </c:pt>
              <c:pt idx="383">
                <c:v>45276.487500000003</c:v>
              </c:pt>
              <c:pt idx="384">
                <c:v>45277.4</c:v>
              </c:pt>
              <c:pt idx="385">
                <c:v>45278.3125</c:v>
              </c:pt>
              <c:pt idx="386">
                <c:v>45279.224999999999</c:v>
              </c:pt>
              <c:pt idx="387">
                <c:v>45280.137499999997</c:v>
              </c:pt>
              <c:pt idx="388">
                <c:v>45281.05</c:v>
              </c:pt>
              <c:pt idx="389">
                <c:v>45281.962500000001</c:v>
              </c:pt>
              <c:pt idx="390">
                <c:v>45282.875</c:v>
              </c:pt>
              <c:pt idx="391">
                <c:v>45283.787499999999</c:v>
              </c:pt>
              <c:pt idx="392">
                <c:v>45284.7</c:v>
              </c:pt>
              <c:pt idx="393">
                <c:v>45285.612500000003</c:v>
              </c:pt>
              <c:pt idx="394">
                <c:v>45286.525000000001</c:v>
              </c:pt>
              <c:pt idx="395">
                <c:v>45287.4375</c:v>
              </c:pt>
              <c:pt idx="396">
                <c:v>45288.35</c:v>
              </c:pt>
            </c:numLit>
          </c:xVal>
          <c:yVal>
            <c:numLit>
              <c:formatCode>General</c:formatCode>
              <c:ptCount val="397"/>
              <c:pt idx="0">
                <c:v>2.5</c:v>
              </c:pt>
              <c:pt idx="1">
                <c:v>2.5</c:v>
              </c:pt>
              <c:pt idx="2">
                <c:v>2.5</c:v>
              </c:pt>
              <c:pt idx="3">
                <c:v>2.5</c:v>
              </c:pt>
              <c:pt idx="4">
                <c:v>2.5</c:v>
              </c:pt>
              <c:pt idx="5">
                <c:v>2.5</c:v>
              </c:pt>
              <c:pt idx="6">
                <c:v>2.5</c:v>
              </c:pt>
              <c:pt idx="7">
                <c:v>2.5</c:v>
              </c:pt>
              <c:pt idx="8">
                <c:v>2.5</c:v>
              </c:pt>
              <c:pt idx="9">
                <c:v>2.5</c:v>
              </c:pt>
              <c:pt idx="10">
                <c:v>2.5</c:v>
              </c:pt>
              <c:pt idx="11">
                <c:v>2.5</c:v>
              </c:pt>
              <c:pt idx="12">
                <c:v>2.5</c:v>
              </c:pt>
              <c:pt idx="13">
                <c:v>2.5</c:v>
              </c:pt>
              <c:pt idx="14">
                <c:v>2.5</c:v>
              </c:pt>
              <c:pt idx="15">
                <c:v>2.5</c:v>
              </c:pt>
              <c:pt idx="16">
                <c:v>2.5</c:v>
              </c:pt>
              <c:pt idx="17">
                <c:v>2.5</c:v>
              </c:pt>
              <c:pt idx="18">
                <c:v>2.5</c:v>
              </c:pt>
              <c:pt idx="19">
                <c:v>2.5</c:v>
              </c:pt>
              <c:pt idx="20">
                <c:v>2.5</c:v>
              </c:pt>
              <c:pt idx="21">
                <c:v>2.5</c:v>
              </c:pt>
              <c:pt idx="22">
                <c:v>2.5</c:v>
              </c:pt>
              <c:pt idx="23">
                <c:v>2.5</c:v>
              </c:pt>
              <c:pt idx="24">
                <c:v>2.5</c:v>
              </c:pt>
              <c:pt idx="25">
                <c:v>2.5</c:v>
              </c:pt>
              <c:pt idx="26">
                <c:v>2.5</c:v>
              </c:pt>
              <c:pt idx="27">
                <c:v>2.5</c:v>
              </c:pt>
              <c:pt idx="28">
                <c:v>2.5</c:v>
              </c:pt>
              <c:pt idx="29">
                <c:v>2.5</c:v>
              </c:pt>
              <c:pt idx="30">
                <c:v>2.5</c:v>
              </c:pt>
              <c:pt idx="31">
                <c:v>2.5</c:v>
              </c:pt>
              <c:pt idx="32">
                <c:v>2.5</c:v>
              </c:pt>
              <c:pt idx="33">
                <c:v>2.5</c:v>
              </c:pt>
              <c:pt idx="34">
                <c:v>2.5</c:v>
              </c:pt>
              <c:pt idx="35">
                <c:v>2.5</c:v>
              </c:pt>
              <c:pt idx="36">
                <c:v>2.5</c:v>
              </c:pt>
              <c:pt idx="37">
                <c:v>2.5</c:v>
              </c:pt>
              <c:pt idx="38">
                <c:v>2.5</c:v>
              </c:pt>
              <c:pt idx="39">
                <c:v>2.5</c:v>
              </c:pt>
              <c:pt idx="40">
                <c:v>2.5</c:v>
              </c:pt>
              <c:pt idx="41">
                <c:v>2.5</c:v>
              </c:pt>
              <c:pt idx="42">
                <c:v>2.5</c:v>
              </c:pt>
              <c:pt idx="43">
                <c:v>2.5</c:v>
              </c:pt>
              <c:pt idx="44">
                <c:v>2.5</c:v>
              </c:pt>
              <c:pt idx="45">
                <c:v>2.5</c:v>
              </c:pt>
              <c:pt idx="46">
                <c:v>2.5</c:v>
              </c:pt>
              <c:pt idx="47">
                <c:v>2.5</c:v>
              </c:pt>
              <c:pt idx="48">
                <c:v>2.5</c:v>
              </c:pt>
              <c:pt idx="49">
                <c:v>2.5</c:v>
              </c:pt>
              <c:pt idx="50">
                <c:v>2.5</c:v>
              </c:pt>
              <c:pt idx="51">
                <c:v>2.5</c:v>
              </c:pt>
              <c:pt idx="52">
                <c:v>2.5</c:v>
              </c:pt>
              <c:pt idx="53">
                <c:v>2.5</c:v>
              </c:pt>
              <c:pt idx="54">
                <c:v>2.5</c:v>
              </c:pt>
              <c:pt idx="55">
                <c:v>2.5</c:v>
              </c:pt>
              <c:pt idx="56">
                <c:v>2.5</c:v>
              </c:pt>
              <c:pt idx="57">
                <c:v>2.5</c:v>
              </c:pt>
              <c:pt idx="58">
                <c:v>2.5</c:v>
              </c:pt>
              <c:pt idx="59">
                <c:v>2.5</c:v>
              </c:pt>
              <c:pt idx="60">
                <c:v>2.5</c:v>
              </c:pt>
              <c:pt idx="61">
                <c:v>2.5</c:v>
              </c:pt>
              <c:pt idx="62">
                <c:v>2.5</c:v>
              </c:pt>
              <c:pt idx="63">
                <c:v>2.5</c:v>
              </c:pt>
              <c:pt idx="64">
                <c:v>2.5</c:v>
              </c:pt>
              <c:pt idx="65">
                <c:v>2.5</c:v>
              </c:pt>
              <c:pt idx="66">
                <c:v>2.5</c:v>
              </c:pt>
              <c:pt idx="67">
                <c:v>2.5</c:v>
              </c:pt>
              <c:pt idx="68">
                <c:v>2.5</c:v>
              </c:pt>
              <c:pt idx="69">
                <c:v>2.5</c:v>
              </c:pt>
              <c:pt idx="70">
                <c:v>2.5</c:v>
              </c:pt>
              <c:pt idx="71">
                <c:v>2.5</c:v>
              </c:pt>
              <c:pt idx="72">
                <c:v>2.5</c:v>
              </c:pt>
              <c:pt idx="73">
                <c:v>2.5</c:v>
              </c:pt>
              <c:pt idx="74">
                <c:v>2.5</c:v>
              </c:pt>
              <c:pt idx="75">
                <c:v>2.5</c:v>
              </c:pt>
              <c:pt idx="76">
                <c:v>2.5</c:v>
              </c:pt>
              <c:pt idx="77">
                <c:v>2.5</c:v>
              </c:pt>
              <c:pt idx="78">
                <c:v>2.5</c:v>
              </c:pt>
              <c:pt idx="79">
                <c:v>2.5</c:v>
              </c:pt>
              <c:pt idx="80">
                <c:v>2.5</c:v>
              </c:pt>
              <c:pt idx="81">
                <c:v>2.5</c:v>
              </c:pt>
              <c:pt idx="82">
                <c:v>2.5</c:v>
              </c:pt>
              <c:pt idx="83">
                <c:v>2.5</c:v>
              </c:pt>
              <c:pt idx="84">
                <c:v>2.5</c:v>
              </c:pt>
              <c:pt idx="85">
                <c:v>2.5</c:v>
              </c:pt>
              <c:pt idx="86">
                <c:v>2.5</c:v>
              </c:pt>
              <c:pt idx="87">
                <c:v>2.5</c:v>
              </c:pt>
              <c:pt idx="88">
                <c:v>2.5</c:v>
              </c:pt>
              <c:pt idx="89">
                <c:v>2.5</c:v>
              </c:pt>
              <c:pt idx="90">
                <c:v>2.5</c:v>
              </c:pt>
              <c:pt idx="91">
                <c:v>2.5</c:v>
              </c:pt>
              <c:pt idx="92">
                <c:v>2.5</c:v>
              </c:pt>
              <c:pt idx="93">
                <c:v>2.5</c:v>
              </c:pt>
              <c:pt idx="94">
                <c:v>2.5</c:v>
              </c:pt>
              <c:pt idx="95">
                <c:v>2.5</c:v>
              </c:pt>
              <c:pt idx="96">
                <c:v>2.5</c:v>
              </c:pt>
              <c:pt idx="97">
                <c:v>2.5</c:v>
              </c:pt>
              <c:pt idx="98">
                <c:v>2.5</c:v>
              </c:pt>
              <c:pt idx="99">
                <c:v>2.5</c:v>
              </c:pt>
              <c:pt idx="100">
                <c:v>2.5</c:v>
              </c:pt>
              <c:pt idx="101">
                <c:v>2.5</c:v>
              </c:pt>
              <c:pt idx="102">
                <c:v>2.5</c:v>
              </c:pt>
              <c:pt idx="103">
                <c:v>2.5</c:v>
              </c:pt>
              <c:pt idx="104">
                <c:v>2.5</c:v>
              </c:pt>
              <c:pt idx="105">
                <c:v>2.5</c:v>
              </c:pt>
              <c:pt idx="106">
                <c:v>2.5</c:v>
              </c:pt>
              <c:pt idx="107">
                <c:v>2.5</c:v>
              </c:pt>
              <c:pt idx="108">
                <c:v>2.5</c:v>
              </c:pt>
              <c:pt idx="109">
                <c:v>2.5</c:v>
              </c:pt>
              <c:pt idx="110">
                <c:v>2.5</c:v>
              </c:pt>
              <c:pt idx="111">
                <c:v>2.5</c:v>
              </c:pt>
              <c:pt idx="112">
                <c:v>2.5</c:v>
              </c:pt>
              <c:pt idx="113">
                <c:v>2.5</c:v>
              </c:pt>
              <c:pt idx="114">
                <c:v>2.5</c:v>
              </c:pt>
              <c:pt idx="115">
                <c:v>2.5</c:v>
              </c:pt>
              <c:pt idx="116">
                <c:v>2.5</c:v>
              </c:pt>
              <c:pt idx="117">
                <c:v>2.5</c:v>
              </c:pt>
              <c:pt idx="118">
                <c:v>2.5</c:v>
              </c:pt>
              <c:pt idx="119">
                <c:v>2.5</c:v>
              </c:pt>
              <c:pt idx="120">
                <c:v>2.5</c:v>
              </c:pt>
              <c:pt idx="121">
                <c:v>2.5</c:v>
              </c:pt>
              <c:pt idx="122">
                <c:v>2.5</c:v>
              </c:pt>
              <c:pt idx="123">
                <c:v>2.5</c:v>
              </c:pt>
              <c:pt idx="124">
                <c:v>2.5</c:v>
              </c:pt>
              <c:pt idx="125">
                <c:v>2.5</c:v>
              </c:pt>
              <c:pt idx="126">
                <c:v>2.5</c:v>
              </c:pt>
              <c:pt idx="127">
                <c:v>2.5</c:v>
              </c:pt>
              <c:pt idx="128">
                <c:v>2.5</c:v>
              </c:pt>
              <c:pt idx="129">
                <c:v>2.5</c:v>
              </c:pt>
              <c:pt idx="130">
                <c:v>2.5</c:v>
              </c:pt>
              <c:pt idx="131">
                <c:v>2.5</c:v>
              </c:pt>
              <c:pt idx="132">
                <c:v>2.5</c:v>
              </c:pt>
              <c:pt idx="133">
                <c:v>2.5</c:v>
              </c:pt>
              <c:pt idx="134">
                <c:v>2.5</c:v>
              </c:pt>
              <c:pt idx="135">
                <c:v>2.5</c:v>
              </c:pt>
              <c:pt idx="136">
                <c:v>2.5</c:v>
              </c:pt>
              <c:pt idx="137">
                <c:v>2.5</c:v>
              </c:pt>
              <c:pt idx="138">
                <c:v>2.5</c:v>
              </c:pt>
              <c:pt idx="139">
                <c:v>2.5</c:v>
              </c:pt>
              <c:pt idx="140">
                <c:v>2.5</c:v>
              </c:pt>
              <c:pt idx="141">
                <c:v>2.5</c:v>
              </c:pt>
              <c:pt idx="142">
                <c:v>2.5</c:v>
              </c:pt>
              <c:pt idx="143">
                <c:v>2.5</c:v>
              </c:pt>
              <c:pt idx="144">
                <c:v>2.5</c:v>
              </c:pt>
              <c:pt idx="145">
                <c:v>2.5</c:v>
              </c:pt>
              <c:pt idx="146">
                <c:v>2.5</c:v>
              </c:pt>
              <c:pt idx="147">
                <c:v>2.5</c:v>
              </c:pt>
              <c:pt idx="148">
                <c:v>2.5</c:v>
              </c:pt>
              <c:pt idx="149">
                <c:v>2.5</c:v>
              </c:pt>
              <c:pt idx="150">
                <c:v>2.5</c:v>
              </c:pt>
              <c:pt idx="151">
                <c:v>2.5</c:v>
              </c:pt>
              <c:pt idx="152">
                <c:v>2.5</c:v>
              </c:pt>
              <c:pt idx="153">
                <c:v>2.5</c:v>
              </c:pt>
              <c:pt idx="154">
                <c:v>2.5</c:v>
              </c:pt>
              <c:pt idx="155">
                <c:v>2.5</c:v>
              </c:pt>
              <c:pt idx="156">
                <c:v>2.5</c:v>
              </c:pt>
              <c:pt idx="157">
                <c:v>2.5</c:v>
              </c:pt>
              <c:pt idx="158">
                <c:v>2.5</c:v>
              </c:pt>
              <c:pt idx="159">
                <c:v>2.5</c:v>
              </c:pt>
              <c:pt idx="160">
                <c:v>2.5</c:v>
              </c:pt>
              <c:pt idx="161">
                <c:v>2.5</c:v>
              </c:pt>
              <c:pt idx="162">
                <c:v>2.5</c:v>
              </c:pt>
              <c:pt idx="163">
                <c:v>2.5</c:v>
              </c:pt>
              <c:pt idx="164">
                <c:v>2.5</c:v>
              </c:pt>
              <c:pt idx="165">
                <c:v>2.5</c:v>
              </c:pt>
              <c:pt idx="166">
                <c:v>2.5</c:v>
              </c:pt>
              <c:pt idx="167">
                <c:v>2.5</c:v>
              </c:pt>
              <c:pt idx="168">
                <c:v>2.5</c:v>
              </c:pt>
              <c:pt idx="169">
                <c:v>2.5</c:v>
              </c:pt>
              <c:pt idx="170">
                <c:v>2.5</c:v>
              </c:pt>
              <c:pt idx="171">
                <c:v>2.5</c:v>
              </c:pt>
              <c:pt idx="172">
                <c:v>2.5</c:v>
              </c:pt>
              <c:pt idx="173">
                <c:v>2.5</c:v>
              </c:pt>
              <c:pt idx="174">
                <c:v>2.5</c:v>
              </c:pt>
              <c:pt idx="175">
                <c:v>2.5</c:v>
              </c:pt>
              <c:pt idx="176">
                <c:v>2.5</c:v>
              </c:pt>
              <c:pt idx="177">
                <c:v>2.5</c:v>
              </c:pt>
              <c:pt idx="178">
                <c:v>2.5</c:v>
              </c:pt>
              <c:pt idx="179">
                <c:v>2.5</c:v>
              </c:pt>
              <c:pt idx="180">
                <c:v>2.5</c:v>
              </c:pt>
              <c:pt idx="181">
                <c:v>2.5</c:v>
              </c:pt>
              <c:pt idx="182">
                <c:v>2.5</c:v>
              </c:pt>
              <c:pt idx="183">
                <c:v>2.5</c:v>
              </c:pt>
              <c:pt idx="184">
                <c:v>2.5</c:v>
              </c:pt>
              <c:pt idx="185">
                <c:v>2.5</c:v>
              </c:pt>
              <c:pt idx="186">
                <c:v>2.5</c:v>
              </c:pt>
              <c:pt idx="187">
                <c:v>2.5</c:v>
              </c:pt>
              <c:pt idx="188">
                <c:v>2.5</c:v>
              </c:pt>
              <c:pt idx="189">
                <c:v>2.5</c:v>
              </c:pt>
              <c:pt idx="190">
                <c:v>2.5</c:v>
              </c:pt>
              <c:pt idx="191">
                <c:v>2.5</c:v>
              </c:pt>
              <c:pt idx="192">
                <c:v>2.5</c:v>
              </c:pt>
              <c:pt idx="193">
                <c:v>2.5</c:v>
              </c:pt>
              <c:pt idx="194">
                <c:v>2.5</c:v>
              </c:pt>
              <c:pt idx="195">
                <c:v>2.5</c:v>
              </c:pt>
              <c:pt idx="196">
                <c:v>2.5</c:v>
              </c:pt>
              <c:pt idx="197">
                <c:v>2.5</c:v>
              </c:pt>
              <c:pt idx="198">
                <c:v>2.5</c:v>
              </c:pt>
              <c:pt idx="199">
                <c:v>2.5</c:v>
              </c:pt>
              <c:pt idx="200">
                <c:v>2.5</c:v>
              </c:pt>
              <c:pt idx="201">
                <c:v>2.5</c:v>
              </c:pt>
              <c:pt idx="202">
                <c:v>2.5</c:v>
              </c:pt>
              <c:pt idx="203">
                <c:v>2.5</c:v>
              </c:pt>
              <c:pt idx="204">
                <c:v>2.5</c:v>
              </c:pt>
              <c:pt idx="205">
                <c:v>2.5</c:v>
              </c:pt>
              <c:pt idx="206">
                <c:v>2.5</c:v>
              </c:pt>
              <c:pt idx="207">
                <c:v>2.5</c:v>
              </c:pt>
              <c:pt idx="208">
                <c:v>2.5</c:v>
              </c:pt>
              <c:pt idx="209">
                <c:v>2.5</c:v>
              </c:pt>
              <c:pt idx="210">
                <c:v>2.5</c:v>
              </c:pt>
              <c:pt idx="211">
                <c:v>2.5</c:v>
              </c:pt>
              <c:pt idx="212">
                <c:v>2.5</c:v>
              </c:pt>
              <c:pt idx="213">
                <c:v>2.5</c:v>
              </c:pt>
              <c:pt idx="214">
                <c:v>2.5</c:v>
              </c:pt>
              <c:pt idx="215">
                <c:v>2.5</c:v>
              </c:pt>
              <c:pt idx="216">
                <c:v>2.5</c:v>
              </c:pt>
              <c:pt idx="217">
                <c:v>2.5</c:v>
              </c:pt>
              <c:pt idx="218">
                <c:v>2.5</c:v>
              </c:pt>
              <c:pt idx="219">
                <c:v>2.5</c:v>
              </c:pt>
              <c:pt idx="220">
                <c:v>2.5</c:v>
              </c:pt>
              <c:pt idx="221">
                <c:v>2.5</c:v>
              </c:pt>
              <c:pt idx="222">
                <c:v>2.5</c:v>
              </c:pt>
              <c:pt idx="223">
                <c:v>2.5</c:v>
              </c:pt>
              <c:pt idx="224">
                <c:v>2.5</c:v>
              </c:pt>
              <c:pt idx="225">
                <c:v>2.5</c:v>
              </c:pt>
              <c:pt idx="226">
                <c:v>2.5</c:v>
              </c:pt>
              <c:pt idx="227">
                <c:v>2.5</c:v>
              </c:pt>
              <c:pt idx="228">
                <c:v>2.5</c:v>
              </c:pt>
              <c:pt idx="229">
                <c:v>2.5</c:v>
              </c:pt>
              <c:pt idx="230">
                <c:v>2.5</c:v>
              </c:pt>
              <c:pt idx="231">
                <c:v>2.5</c:v>
              </c:pt>
              <c:pt idx="232">
                <c:v>2.5</c:v>
              </c:pt>
              <c:pt idx="233">
                <c:v>2.5</c:v>
              </c:pt>
              <c:pt idx="234">
                <c:v>2.5</c:v>
              </c:pt>
              <c:pt idx="235">
                <c:v>2.5</c:v>
              </c:pt>
              <c:pt idx="236">
                <c:v>2.5</c:v>
              </c:pt>
              <c:pt idx="237">
                <c:v>2.5</c:v>
              </c:pt>
              <c:pt idx="238">
                <c:v>2.5</c:v>
              </c:pt>
              <c:pt idx="239">
                <c:v>2.5</c:v>
              </c:pt>
              <c:pt idx="240">
                <c:v>2.5</c:v>
              </c:pt>
              <c:pt idx="241">
                <c:v>2.5</c:v>
              </c:pt>
              <c:pt idx="242">
                <c:v>2.5</c:v>
              </c:pt>
              <c:pt idx="243">
                <c:v>2.5</c:v>
              </c:pt>
              <c:pt idx="244">
                <c:v>2.5</c:v>
              </c:pt>
              <c:pt idx="245">
                <c:v>2.5</c:v>
              </c:pt>
              <c:pt idx="246">
                <c:v>2.5</c:v>
              </c:pt>
              <c:pt idx="247">
                <c:v>2.5</c:v>
              </c:pt>
              <c:pt idx="248">
                <c:v>2.5</c:v>
              </c:pt>
              <c:pt idx="249">
                <c:v>2.5</c:v>
              </c:pt>
              <c:pt idx="250">
                <c:v>2.5</c:v>
              </c:pt>
              <c:pt idx="251">
                <c:v>2.5</c:v>
              </c:pt>
              <c:pt idx="252">
                <c:v>2.5</c:v>
              </c:pt>
              <c:pt idx="253">
                <c:v>2.5</c:v>
              </c:pt>
              <c:pt idx="254">
                <c:v>2.5</c:v>
              </c:pt>
              <c:pt idx="255">
                <c:v>2.5</c:v>
              </c:pt>
              <c:pt idx="256">
                <c:v>2.5</c:v>
              </c:pt>
              <c:pt idx="257">
                <c:v>2.5</c:v>
              </c:pt>
              <c:pt idx="258">
                <c:v>2.5</c:v>
              </c:pt>
              <c:pt idx="259">
                <c:v>2.5</c:v>
              </c:pt>
              <c:pt idx="260">
                <c:v>2.5</c:v>
              </c:pt>
              <c:pt idx="261">
                <c:v>2.5</c:v>
              </c:pt>
              <c:pt idx="262">
                <c:v>2.5</c:v>
              </c:pt>
              <c:pt idx="263">
                <c:v>2.5</c:v>
              </c:pt>
              <c:pt idx="264">
                <c:v>2.5</c:v>
              </c:pt>
              <c:pt idx="265">
                <c:v>2.5</c:v>
              </c:pt>
              <c:pt idx="266">
                <c:v>2.5</c:v>
              </c:pt>
              <c:pt idx="267">
                <c:v>2.5</c:v>
              </c:pt>
              <c:pt idx="268">
                <c:v>2.5</c:v>
              </c:pt>
              <c:pt idx="269">
                <c:v>2.5</c:v>
              </c:pt>
              <c:pt idx="270">
                <c:v>2.5</c:v>
              </c:pt>
              <c:pt idx="271">
                <c:v>2.5</c:v>
              </c:pt>
              <c:pt idx="272">
                <c:v>2.5</c:v>
              </c:pt>
              <c:pt idx="273">
                <c:v>2.5</c:v>
              </c:pt>
              <c:pt idx="274">
                <c:v>2.5</c:v>
              </c:pt>
              <c:pt idx="275">
                <c:v>2.5</c:v>
              </c:pt>
              <c:pt idx="276">
                <c:v>2.5</c:v>
              </c:pt>
              <c:pt idx="277">
                <c:v>2.5</c:v>
              </c:pt>
              <c:pt idx="278">
                <c:v>2.5</c:v>
              </c:pt>
              <c:pt idx="279">
                <c:v>2.5</c:v>
              </c:pt>
              <c:pt idx="280">
                <c:v>2.5</c:v>
              </c:pt>
              <c:pt idx="281">
                <c:v>2.5</c:v>
              </c:pt>
              <c:pt idx="282">
                <c:v>2.5</c:v>
              </c:pt>
              <c:pt idx="283">
                <c:v>2.5</c:v>
              </c:pt>
              <c:pt idx="284">
                <c:v>2.5</c:v>
              </c:pt>
              <c:pt idx="285">
                <c:v>2.5</c:v>
              </c:pt>
              <c:pt idx="286">
                <c:v>2.5</c:v>
              </c:pt>
              <c:pt idx="287">
                <c:v>2.5</c:v>
              </c:pt>
              <c:pt idx="288">
                <c:v>2.5</c:v>
              </c:pt>
              <c:pt idx="289">
                <c:v>2.5</c:v>
              </c:pt>
              <c:pt idx="290">
                <c:v>2.5</c:v>
              </c:pt>
              <c:pt idx="291">
                <c:v>2.5</c:v>
              </c:pt>
              <c:pt idx="292">
                <c:v>2.5</c:v>
              </c:pt>
              <c:pt idx="293">
                <c:v>2.5</c:v>
              </c:pt>
              <c:pt idx="294">
                <c:v>2.5</c:v>
              </c:pt>
              <c:pt idx="295">
                <c:v>2.5</c:v>
              </c:pt>
              <c:pt idx="296">
                <c:v>2.5</c:v>
              </c:pt>
              <c:pt idx="297">
                <c:v>2.5</c:v>
              </c:pt>
              <c:pt idx="298">
                <c:v>2.5</c:v>
              </c:pt>
              <c:pt idx="299">
                <c:v>2.5</c:v>
              </c:pt>
              <c:pt idx="300">
                <c:v>2.5</c:v>
              </c:pt>
              <c:pt idx="301">
                <c:v>2.5</c:v>
              </c:pt>
              <c:pt idx="302">
                <c:v>2.5</c:v>
              </c:pt>
              <c:pt idx="303">
                <c:v>2.5</c:v>
              </c:pt>
              <c:pt idx="304">
                <c:v>2.5</c:v>
              </c:pt>
              <c:pt idx="305">
                <c:v>2.5</c:v>
              </c:pt>
              <c:pt idx="306">
                <c:v>2.5</c:v>
              </c:pt>
              <c:pt idx="307">
                <c:v>2.5</c:v>
              </c:pt>
              <c:pt idx="308">
                <c:v>2.5</c:v>
              </c:pt>
              <c:pt idx="309">
                <c:v>2.5</c:v>
              </c:pt>
              <c:pt idx="310">
                <c:v>2.5</c:v>
              </c:pt>
              <c:pt idx="311">
                <c:v>2.5</c:v>
              </c:pt>
              <c:pt idx="312">
                <c:v>2.5</c:v>
              </c:pt>
              <c:pt idx="313">
                <c:v>2.5</c:v>
              </c:pt>
              <c:pt idx="314">
                <c:v>2.5</c:v>
              </c:pt>
              <c:pt idx="315">
                <c:v>2.5</c:v>
              </c:pt>
              <c:pt idx="316">
                <c:v>2.5</c:v>
              </c:pt>
              <c:pt idx="317">
                <c:v>2.5</c:v>
              </c:pt>
              <c:pt idx="318">
                <c:v>2.5</c:v>
              </c:pt>
              <c:pt idx="319">
                <c:v>2.5</c:v>
              </c:pt>
              <c:pt idx="320">
                <c:v>2.5</c:v>
              </c:pt>
              <c:pt idx="321">
                <c:v>2.5</c:v>
              </c:pt>
              <c:pt idx="322">
                <c:v>2.5</c:v>
              </c:pt>
              <c:pt idx="323">
                <c:v>2.5</c:v>
              </c:pt>
              <c:pt idx="324">
                <c:v>2.5</c:v>
              </c:pt>
              <c:pt idx="325">
                <c:v>2.5</c:v>
              </c:pt>
              <c:pt idx="326">
                <c:v>2.5</c:v>
              </c:pt>
              <c:pt idx="327">
                <c:v>2.5</c:v>
              </c:pt>
              <c:pt idx="328">
                <c:v>2.5</c:v>
              </c:pt>
              <c:pt idx="329">
                <c:v>2.5</c:v>
              </c:pt>
              <c:pt idx="330">
                <c:v>2.5</c:v>
              </c:pt>
              <c:pt idx="331">
                <c:v>2.5</c:v>
              </c:pt>
              <c:pt idx="332">
                <c:v>2.5</c:v>
              </c:pt>
              <c:pt idx="333">
                <c:v>2.5</c:v>
              </c:pt>
              <c:pt idx="334">
                <c:v>2.5</c:v>
              </c:pt>
              <c:pt idx="335">
                <c:v>2.5</c:v>
              </c:pt>
              <c:pt idx="336">
                <c:v>2.5</c:v>
              </c:pt>
              <c:pt idx="337">
                <c:v>2.5</c:v>
              </c:pt>
              <c:pt idx="338">
                <c:v>2.5</c:v>
              </c:pt>
              <c:pt idx="339">
                <c:v>2.5</c:v>
              </c:pt>
              <c:pt idx="340">
                <c:v>2.5</c:v>
              </c:pt>
              <c:pt idx="341">
                <c:v>2.5</c:v>
              </c:pt>
              <c:pt idx="342">
                <c:v>2.5</c:v>
              </c:pt>
              <c:pt idx="343">
                <c:v>2.5</c:v>
              </c:pt>
              <c:pt idx="344">
                <c:v>2.5</c:v>
              </c:pt>
              <c:pt idx="345">
                <c:v>2.5</c:v>
              </c:pt>
              <c:pt idx="346">
                <c:v>2.5</c:v>
              </c:pt>
              <c:pt idx="347">
                <c:v>2.5</c:v>
              </c:pt>
              <c:pt idx="348">
                <c:v>2.5</c:v>
              </c:pt>
              <c:pt idx="349">
                <c:v>2.5</c:v>
              </c:pt>
              <c:pt idx="350">
                <c:v>2.5</c:v>
              </c:pt>
              <c:pt idx="351">
                <c:v>2.5</c:v>
              </c:pt>
              <c:pt idx="352">
                <c:v>2.5</c:v>
              </c:pt>
              <c:pt idx="353">
                <c:v>2.5</c:v>
              </c:pt>
              <c:pt idx="354">
                <c:v>2.5</c:v>
              </c:pt>
              <c:pt idx="355">
                <c:v>2.5</c:v>
              </c:pt>
              <c:pt idx="356">
                <c:v>2.5</c:v>
              </c:pt>
              <c:pt idx="357">
                <c:v>2.5</c:v>
              </c:pt>
              <c:pt idx="358">
                <c:v>2.5</c:v>
              </c:pt>
              <c:pt idx="359">
                <c:v>2.5</c:v>
              </c:pt>
              <c:pt idx="360">
                <c:v>2.5</c:v>
              </c:pt>
              <c:pt idx="361">
                <c:v>2.5</c:v>
              </c:pt>
              <c:pt idx="362">
                <c:v>2.5</c:v>
              </c:pt>
              <c:pt idx="363">
                <c:v>2.5</c:v>
              </c:pt>
              <c:pt idx="364">
                <c:v>2.5</c:v>
              </c:pt>
              <c:pt idx="365">
                <c:v>2.5</c:v>
              </c:pt>
              <c:pt idx="366">
                <c:v>2.5</c:v>
              </c:pt>
              <c:pt idx="367">
                <c:v>2.5</c:v>
              </c:pt>
              <c:pt idx="368">
                <c:v>2.5</c:v>
              </c:pt>
              <c:pt idx="369">
                <c:v>2.5</c:v>
              </c:pt>
              <c:pt idx="370">
                <c:v>2.5</c:v>
              </c:pt>
              <c:pt idx="371">
                <c:v>2.5</c:v>
              </c:pt>
              <c:pt idx="372">
                <c:v>2.5</c:v>
              </c:pt>
              <c:pt idx="373">
                <c:v>2.5</c:v>
              </c:pt>
              <c:pt idx="374">
                <c:v>2.5</c:v>
              </c:pt>
              <c:pt idx="375">
                <c:v>2.5</c:v>
              </c:pt>
              <c:pt idx="376">
                <c:v>2.5</c:v>
              </c:pt>
              <c:pt idx="377">
                <c:v>2.5</c:v>
              </c:pt>
              <c:pt idx="378">
                <c:v>2.5</c:v>
              </c:pt>
              <c:pt idx="379">
                <c:v>2.5</c:v>
              </c:pt>
              <c:pt idx="380">
                <c:v>2.5</c:v>
              </c:pt>
              <c:pt idx="381">
                <c:v>2.5</c:v>
              </c:pt>
              <c:pt idx="382">
                <c:v>2.5</c:v>
              </c:pt>
              <c:pt idx="383">
                <c:v>2.5</c:v>
              </c:pt>
              <c:pt idx="384">
                <c:v>2.5</c:v>
              </c:pt>
              <c:pt idx="385">
                <c:v>2.5</c:v>
              </c:pt>
              <c:pt idx="386">
                <c:v>2.5</c:v>
              </c:pt>
              <c:pt idx="387">
                <c:v>2.5</c:v>
              </c:pt>
              <c:pt idx="388">
                <c:v>2.5</c:v>
              </c:pt>
              <c:pt idx="389">
                <c:v>2.5</c:v>
              </c:pt>
              <c:pt idx="390">
                <c:v>2.5</c:v>
              </c:pt>
              <c:pt idx="391">
                <c:v>2.5</c:v>
              </c:pt>
              <c:pt idx="392">
                <c:v>2.5</c:v>
              </c:pt>
              <c:pt idx="393">
                <c:v>2.5</c:v>
              </c:pt>
              <c:pt idx="394">
                <c:v>2.5</c:v>
              </c:pt>
              <c:pt idx="395">
                <c:v>2.5</c:v>
              </c:pt>
              <c:pt idx="396">
                <c:v>2.5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8D-488D-8304-6F656EF1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45472"/>
        <c:axId val="1353046432"/>
      </c:scatterChart>
      <c:valAx>
        <c:axId val="1353045472"/>
        <c:scaling>
          <c:orientation val="minMax"/>
          <c:max val="45292"/>
          <c:min val="4492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3046432"/>
        <c:crosses val="autoZero"/>
        <c:crossBetween val="midCat"/>
      </c:valAx>
      <c:valAx>
        <c:axId val="135304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304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15</xdr:row>
          <xdr:rowOff>144780</xdr:rowOff>
        </xdr:from>
        <xdr:to>
          <xdr:col>2</xdr:col>
          <xdr:colOff>2247900</xdr:colOff>
          <xdr:row>17</xdr:row>
          <xdr:rowOff>68580</xdr:rowOff>
        </xdr:to>
        <xdr:sp macro="" textlink="">
          <xdr:nvSpPr>
            <xdr:cNvPr id="1032" name="Compute_outpu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374491</xdr:colOff>
      <xdr:row>26</xdr:row>
      <xdr:rowOff>159122</xdr:rowOff>
    </xdr:from>
    <xdr:to>
      <xdr:col>5</xdr:col>
      <xdr:colOff>828834</xdr:colOff>
      <xdr:row>29</xdr:row>
      <xdr:rowOff>943622</xdr:rowOff>
    </xdr:to>
    <xdr:graphicFrame macro="">
      <xdr:nvGraphicFramePr>
        <xdr:cNvPr id="8" name="Option Price">
          <a:extLst>
            <a:ext uri="{FF2B5EF4-FFF2-40B4-BE49-F238E27FC236}">
              <a16:creationId xmlns:a16="http://schemas.microsoft.com/office/drawing/2014/main" id="{23E4256F-571C-82D1-94A0-CC2A2DACAC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891649</xdr:colOff>
      <xdr:row>26</xdr:row>
      <xdr:rowOff>149718</xdr:rowOff>
    </xdr:from>
    <xdr:to>
      <xdr:col>12</xdr:col>
      <xdr:colOff>546432</xdr:colOff>
      <xdr:row>29</xdr:row>
      <xdr:rowOff>934218</xdr:rowOff>
    </xdr:to>
    <xdr:graphicFrame macro="">
      <xdr:nvGraphicFramePr>
        <xdr:cNvPr id="11" name="Delta">
          <a:extLst>
            <a:ext uri="{FF2B5EF4-FFF2-40B4-BE49-F238E27FC236}">
              <a16:creationId xmlns:a16="http://schemas.microsoft.com/office/drawing/2014/main" id="{C83274FB-1AD5-9E88-633C-55E34CAD5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547528</xdr:colOff>
      <xdr:row>26</xdr:row>
      <xdr:rowOff>108307</xdr:rowOff>
    </xdr:from>
    <xdr:to>
      <xdr:col>19</xdr:col>
      <xdr:colOff>232527</xdr:colOff>
      <xdr:row>29</xdr:row>
      <xdr:rowOff>892807</xdr:rowOff>
    </xdr:to>
    <xdr:graphicFrame macro="">
      <xdr:nvGraphicFramePr>
        <xdr:cNvPr id="12" name="Exercice boundary">
          <a:extLst>
            <a:ext uri="{FF2B5EF4-FFF2-40B4-BE49-F238E27FC236}">
              <a16:creationId xmlns:a16="http://schemas.microsoft.com/office/drawing/2014/main" id="{7BC75492-7994-C6AD-B2A4-93E66D65EE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U33"/>
  <sheetViews>
    <sheetView showGridLines="0" tabSelected="1" topLeftCell="A3" zoomScale="130" zoomScaleNormal="130" workbookViewId="0">
      <selection activeCell="I24" sqref="I24"/>
    </sheetView>
  </sheetViews>
  <sheetFormatPr defaultColWidth="9.109375" defaultRowHeight="14.4" x14ac:dyDescent="0.3"/>
  <cols>
    <col min="1" max="1" width="2.6640625" style="1" customWidth="1"/>
    <col min="2" max="2" width="4.109375" style="1" customWidth="1"/>
    <col min="3" max="3" width="35.5546875" style="1" bestFit="1" customWidth="1"/>
    <col min="4" max="4" width="24.109375" style="1" customWidth="1"/>
    <col min="5" max="5" width="14.33203125" style="1" customWidth="1"/>
    <col min="6" max="6" width="15.77734375" style="1" customWidth="1"/>
    <col min="7" max="20" width="14.33203125" style="1" customWidth="1"/>
    <col min="21" max="21" width="1.6640625" style="1" customWidth="1"/>
    <col min="22" max="16384" width="9.109375" style="1"/>
  </cols>
  <sheetData>
    <row r="1" spans="2:21" ht="13.5" customHeight="1" thickBot="1" x14ac:dyDescent="0.35"/>
    <row r="2" spans="2:21" ht="30.75" customHeight="1" x14ac:dyDescent="0.3">
      <c r="B2" s="51" t="s">
        <v>2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3"/>
    </row>
    <row r="3" spans="2:21" ht="21" x14ac:dyDescent="0.4">
      <c r="B3" s="49" t="s">
        <v>0</v>
      </c>
      <c r="C3" s="50"/>
      <c r="D3" s="50"/>
      <c r="E3" s="5"/>
      <c r="F3" s="5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2:21" x14ac:dyDescent="0.3">
      <c r="B4" s="8" t="s">
        <v>4</v>
      </c>
      <c r="C4" s="9" t="s">
        <v>1</v>
      </c>
      <c r="D4" s="26" t="s">
        <v>32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 s="4"/>
    </row>
    <row r="5" spans="2:21" x14ac:dyDescent="0.3">
      <c r="B5" s="8" t="s">
        <v>5</v>
      </c>
      <c r="C5" s="9" t="s">
        <v>3</v>
      </c>
      <c r="D5" s="26" t="s">
        <v>38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 s="4"/>
    </row>
    <row r="6" spans="2:21" x14ac:dyDescent="0.3">
      <c r="B6" s="8" t="s">
        <v>6</v>
      </c>
      <c r="C6" s="9" t="s">
        <v>17</v>
      </c>
      <c r="D6" s="37">
        <v>45292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 s="4"/>
    </row>
    <row r="7" spans="2:21" x14ac:dyDescent="0.3">
      <c r="B7" s="8" t="s">
        <v>7</v>
      </c>
      <c r="C7" s="9" t="s">
        <v>18</v>
      </c>
      <c r="D7" s="27">
        <v>2.5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 s="4"/>
    </row>
    <row r="8" spans="2:21" x14ac:dyDescent="0.3">
      <c r="B8" s="8" t="s">
        <v>8</v>
      </c>
      <c r="C8" s="9" t="s">
        <v>19</v>
      </c>
      <c r="D8" s="37">
        <v>44927</v>
      </c>
      <c r="E8" s="37"/>
      <c r="F8" s="28"/>
      <c r="G8"/>
      <c r="H8"/>
      <c r="I8"/>
      <c r="J8"/>
      <c r="K8"/>
      <c r="L8"/>
      <c r="M8"/>
      <c r="N8"/>
      <c r="O8"/>
      <c r="P8"/>
      <c r="Q8"/>
      <c r="R8"/>
      <c r="S8"/>
      <c r="T8"/>
      <c r="U8" s="4"/>
    </row>
    <row r="9" spans="2:21" x14ac:dyDescent="0.3">
      <c r="B9" s="8" t="s">
        <v>9</v>
      </c>
      <c r="C9" s="9" t="s">
        <v>14</v>
      </c>
      <c r="D9" s="29">
        <v>400</v>
      </c>
      <c r="E9"/>
      <c r="F9" s="41"/>
      <c r="G9"/>
      <c r="H9"/>
      <c r="I9"/>
      <c r="J9"/>
      <c r="K9"/>
      <c r="L9"/>
      <c r="M9"/>
      <c r="N9"/>
      <c r="O9"/>
      <c r="P9"/>
      <c r="Q9"/>
      <c r="R9"/>
      <c r="S9"/>
      <c r="T9"/>
      <c r="U9" s="4"/>
    </row>
    <row r="10" spans="2:21" x14ac:dyDescent="0.3">
      <c r="B10" s="8" t="s">
        <v>10</v>
      </c>
      <c r="C10" s="9" t="s">
        <v>15</v>
      </c>
      <c r="D10" s="30">
        <v>400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 s="4"/>
    </row>
    <row r="11" spans="2:21" x14ac:dyDescent="0.3">
      <c r="B11" s="8" t="s">
        <v>11</v>
      </c>
      <c r="C11" s="9" t="s">
        <v>20</v>
      </c>
      <c r="D11" s="27">
        <v>1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 s="4"/>
    </row>
    <row r="12" spans="2:21" x14ac:dyDescent="0.3">
      <c r="B12" s="54" t="s">
        <v>12</v>
      </c>
      <c r="C12" s="55" t="s">
        <v>30</v>
      </c>
      <c r="D12" s="2" t="s">
        <v>16</v>
      </c>
      <c r="E12" s="39">
        <v>44942</v>
      </c>
      <c r="F12" s="39">
        <v>44949</v>
      </c>
      <c r="G12" s="39">
        <v>44956</v>
      </c>
      <c r="H12" s="39">
        <v>44963</v>
      </c>
      <c r="I12" s="39">
        <v>44970</v>
      </c>
      <c r="J12" s="39">
        <v>44977</v>
      </c>
      <c r="K12" s="39">
        <v>44984</v>
      </c>
      <c r="L12" s="39">
        <v>44991</v>
      </c>
      <c r="M12" s="39">
        <v>44998</v>
      </c>
      <c r="N12" s="39">
        <v>45005</v>
      </c>
      <c r="O12" s="39">
        <v>45012</v>
      </c>
      <c r="P12" s="39">
        <v>45019</v>
      </c>
      <c r="Q12" s="39">
        <v>45026</v>
      </c>
      <c r="R12" s="39">
        <v>45033</v>
      </c>
      <c r="S12" s="39"/>
      <c r="T12" s="40"/>
      <c r="U12" s="4"/>
    </row>
    <row r="13" spans="2:21" x14ac:dyDescent="0.3">
      <c r="B13" s="54"/>
      <c r="C13" s="55"/>
      <c r="D13" s="3" t="s">
        <v>29</v>
      </c>
      <c r="E13" s="31">
        <v>2.1160094155768298E-2</v>
      </c>
      <c r="F13" s="31">
        <v>2.1160094155768298E-2</v>
      </c>
      <c r="G13" s="31">
        <v>2.1160094155768298E-2</v>
      </c>
      <c r="H13" s="31">
        <v>2.1160094155768298E-2</v>
      </c>
      <c r="I13" s="31">
        <v>2.1160094155768298E-2</v>
      </c>
      <c r="J13" s="31">
        <v>2.1160094155768298E-2</v>
      </c>
      <c r="K13" s="31">
        <v>2.1160094155768298E-2</v>
      </c>
      <c r="L13" s="31">
        <v>2.1160094155768298E-2</v>
      </c>
      <c r="M13" s="31">
        <v>2.1160094155768298E-2</v>
      </c>
      <c r="N13" s="31">
        <v>2.1160094155768298E-2</v>
      </c>
      <c r="O13" s="31">
        <v>2.1160094155768298E-2</v>
      </c>
      <c r="P13" s="31">
        <v>2.1160094155768298E-2</v>
      </c>
      <c r="Q13" s="31">
        <v>2.1160094155768298E-2</v>
      </c>
      <c r="R13" s="31">
        <v>2.1160094155768298E-2</v>
      </c>
      <c r="S13" s="31"/>
      <c r="T13" s="32"/>
      <c r="U13" s="4"/>
    </row>
    <row r="14" spans="2:21" x14ac:dyDescent="0.3">
      <c r="B14" s="8" t="s">
        <v>13</v>
      </c>
      <c r="C14" s="9" t="s">
        <v>21</v>
      </c>
      <c r="D14" s="34">
        <v>0.1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 s="4"/>
    </row>
    <row r="15" spans="2:21" ht="6.75" customHeight="1" thickBot="1" x14ac:dyDescent="0.35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2"/>
    </row>
    <row r="16" spans="2:21" ht="15" customHeight="1" x14ac:dyDescent="0.3"/>
    <row r="17" spans="2:21" ht="27.75" customHeight="1" x14ac:dyDescent="0.3"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</row>
    <row r="18" spans="2:21" ht="15" customHeight="1" thickBot="1" x14ac:dyDescent="0.35"/>
    <row r="19" spans="2:21" ht="7.5" customHeight="1" x14ac:dyDescent="0.4">
      <c r="B19" s="22"/>
      <c r="C19" s="23"/>
      <c r="D19" s="23"/>
      <c r="E19" s="23"/>
      <c r="F19" s="23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2:21" ht="21" x14ac:dyDescent="0.4">
      <c r="B20" s="47" t="s">
        <v>22</v>
      </c>
      <c r="C20" s="48"/>
      <c r="D20" s="33" t="s">
        <v>31</v>
      </c>
      <c r="E20" s="33"/>
      <c r="F20" s="19" t="s">
        <v>36</v>
      </c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1"/>
    </row>
    <row r="21" spans="2:21" ht="15" customHeight="1" x14ac:dyDescent="0.3">
      <c r="B21" s="8" t="s">
        <v>4</v>
      </c>
      <c r="C21" s="9" t="s">
        <v>23</v>
      </c>
      <c r="D21" s="38">
        <v>0</v>
      </c>
      <c r="E21" s="35"/>
      <c r="F21" s="9" t="s">
        <v>35</v>
      </c>
      <c r="G21" s="38">
        <f xml:space="preserve"> IF(D4= "Call", D11*_xlfn.NORM.S.DIST(I21,TRUE ) - D7*EXP(-E13*(D6-D8)/365) * _xlfn.NORM.S.DIST(I22,TRUE), -D11*_xlfn.NORM.S.DIST(-I21,TRUE) + D7*EXP(-E13*(D6-D8)/365) * _xlfn.NORM.S.DIST(-I22,TRUE))</f>
        <v>-6.4302343045832702E-5</v>
      </c>
      <c r="H21" s="9" t="s">
        <v>33</v>
      </c>
      <c r="I21" s="38">
        <f xml:space="preserve"> (LOG(D11/D7) + E13*(D6-D8)/365)/(D14*SQRT((D6-D8)/365)) + D14*SQRT((D6-D8)/365)/2</f>
        <v>-3.7177991451626928</v>
      </c>
      <c r="J21"/>
      <c r="K21"/>
      <c r="L21"/>
      <c r="M21"/>
      <c r="N21"/>
      <c r="O21"/>
      <c r="P21"/>
      <c r="Q21"/>
      <c r="R21"/>
      <c r="S21"/>
      <c r="T21"/>
      <c r="U21" s="4"/>
    </row>
    <row r="22" spans="2:21" ht="15" customHeight="1" x14ac:dyDescent="0.35">
      <c r="B22" s="8" t="s">
        <v>5</v>
      </c>
      <c r="C22" s="9" t="s">
        <v>25</v>
      </c>
      <c r="D22" s="38">
        <v>0</v>
      </c>
      <c r="E22" s="35"/>
      <c r="F22" s="9" t="s">
        <v>25</v>
      </c>
      <c r="G22" s="45">
        <f xml:space="preserve"> IF(D4 = "Call", _xlfn.NORM.S.DIST(I21,TRUE ),_xlfn.NORM.S.DIST(I21,TRUE )-1)</f>
        <v>1.0048297402196683E-4</v>
      </c>
      <c r="H22" s="9" t="s">
        <v>34</v>
      </c>
      <c r="I22" s="38">
        <f xml:space="preserve"> I21 - D14*SQRT((D6-D8)/365)</f>
        <v>-3.8177991451626929</v>
      </c>
      <c r="J22"/>
      <c r="K22"/>
      <c r="L22"/>
      <c r="M22"/>
      <c r="N22"/>
      <c r="O22"/>
      <c r="P22"/>
      <c r="Q22"/>
      <c r="R22"/>
      <c r="S22"/>
      <c r="T22"/>
      <c r="U22" s="4"/>
    </row>
    <row r="23" spans="2:21" ht="15" customHeight="1" x14ac:dyDescent="0.35">
      <c r="B23" s="8" t="s">
        <v>6</v>
      </c>
      <c r="C23" s="9" t="s">
        <v>24</v>
      </c>
      <c r="D23" s="38">
        <v>0</v>
      </c>
      <c r="E23" s="35"/>
      <c r="F23" s="9" t="s">
        <v>24</v>
      </c>
      <c r="G23" s="45">
        <f>_xlfn.NORM.S.DIST(I21,FALSE)/ (D11*D14*(D6-D8)/365)</f>
        <v>3.9764386091602722E-3</v>
      </c>
      <c r="H23" s="42" t="s">
        <v>37</v>
      </c>
      <c r="I23" s="43">
        <f xml:space="preserve"> ABS(D21-G21)</f>
        <v>6.4302343045832702E-5</v>
      </c>
      <c r="J23"/>
      <c r="K23"/>
      <c r="L23"/>
      <c r="M23"/>
      <c r="N23"/>
      <c r="O23"/>
      <c r="P23"/>
      <c r="Q23"/>
      <c r="R23"/>
      <c r="S23"/>
      <c r="T23"/>
      <c r="U23" s="4"/>
    </row>
    <row r="24" spans="2:21" ht="15" customHeight="1" x14ac:dyDescent="0.3">
      <c r="B24" s="8" t="s">
        <v>7</v>
      </c>
      <c r="C24" s="9" t="s">
        <v>26</v>
      </c>
      <c r="D24" s="38">
        <v>0</v>
      </c>
      <c r="E24" s="35"/>
      <c r="F24" s="9" t="s">
        <v>26</v>
      </c>
      <c r="G24" s="44">
        <f>-D11* _xlfn.NORM.S.DIST(I21,FALSE)*D14/(2*(D6-D8)/365) + IF(D4 = "Call",-1,1)*E13*D7*EXP(-E13*(D6-D8)/365)*_xlfn.NORM.S.DIST(IF(D4 = "Call",1,-1)*I22,TRUE)</f>
        <v>-2.3369065870444135E-5</v>
      </c>
      <c r="H24"/>
      <c r="I24"/>
      <c r="J24"/>
      <c r="K24"/>
      <c r="L24"/>
      <c r="M24"/>
      <c r="N24"/>
      <c r="O24"/>
      <c r="P24"/>
      <c r="Q24"/>
      <c r="R24"/>
      <c r="S24"/>
      <c r="T24"/>
      <c r="U24" s="4"/>
    </row>
    <row r="25" spans="2:21" ht="15" customHeight="1" x14ac:dyDescent="0.35">
      <c r="B25" s="8" t="s">
        <v>8</v>
      </c>
      <c r="C25" s="9" t="s">
        <v>28</v>
      </c>
      <c r="D25" s="38">
        <v>0</v>
      </c>
      <c r="E25" s="35"/>
      <c r="F25" s="9" t="s">
        <v>28</v>
      </c>
      <c r="G25" s="45">
        <f xml:space="preserve"> D7*EXP(-E13*(D6-D8)/365)*(D6-D8)/365 * _xlfn.NORM.S.DIST(I22,TRUE) * IF(D4="Call",1,-1)</f>
        <v>1.6478531706779954E-4</v>
      </c>
      <c r="H25"/>
      <c r="I25"/>
      <c r="J25"/>
      <c r="K25"/>
      <c r="L25"/>
      <c r="M25"/>
      <c r="N25"/>
      <c r="O25"/>
      <c r="P25"/>
      <c r="Q25"/>
      <c r="R25"/>
      <c r="S25"/>
      <c r="T25"/>
      <c r="U25" s="4"/>
    </row>
    <row r="26" spans="2:21" ht="15" customHeight="1" x14ac:dyDescent="0.35">
      <c r="B26" s="8" t="s">
        <v>9</v>
      </c>
      <c r="C26" s="9" t="s">
        <v>27</v>
      </c>
      <c r="D26" s="38">
        <v>0</v>
      </c>
      <c r="E26" s="35"/>
      <c r="F26" s="9" t="s">
        <v>27</v>
      </c>
      <c r="G26" s="38">
        <f>D11*SQRT((D6-D8)/365)*_xlfn.NORM.S.DIST(I21,FALSE)</f>
        <v>3.9764386091602726E-4</v>
      </c>
      <c r="H26"/>
      <c r="I26"/>
      <c r="J26"/>
      <c r="K26"/>
      <c r="L26"/>
      <c r="M26"/>
      <c r="N26"/>
      <c r="O26"/>
      <c r="P26"/>
      <c r="Q26"/>
      <c r="R26"/>
      <c r="S26"/>
      <c r="T26"/>
      <c r="U26" s="4"/>
    </row>
    <row r="27" spans="2:21" x14ac:dyDescent="0.3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5"/>
    </row>
    <row r="28" spans="2:21" ht="75" customHeight="1" x14ac:dyDescent="0.3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5"/>
    </row>
    <row r="29" spans="2:21" ht="75" customHeight="1" x14ac:dyDescent="0.3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5"/>
    </row>
    <row r="30" spans="2:21" ht="75" customHeight="1" x14ac:dyDescent="0.3"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5"/>
    </row>
    <row r="31" spans="2:21" ht="15" thickBot="1" x14ac:dyDescent="0.3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/>
    </row>
    <row r="33" spans="5:6" x14ac:dyDescent="0.3">
      <c r="E33" s="46"/>
      <c r="F33" s="46"/>
    </row>
  </sheetData>
  <sheetProtection insertColumns="0" deleteColumns="0"/>
  <mergeCells count="6">
    <mergeCell ref="E33:F33"/>
    <mergeCell ref="B20:C20"/>
    <mergeCell ref="B3:D3"/>
    <mergeCell ref="B2:U2"/>
    <mergeCell ref="B12:B13"/>
    <mergeCell ref="C12:C13"/>
  </mergeCells>
  <dataValidations count="6">
    <dataValidation type="list" allowBlank="1" showInputMessage="1" showErrorMessage="1" sqref="D4" xr:uid="{E082EEFE-F5C7-4922-9934-0E3073FF3B43}">
      <formula1>"Call, Put"</formula1>
    </dataValidation>
    <dataValidation type="list" allowBlank="1" showInputMessage="1" showErrorMessage="1" sqref="D5" xr:uid="{0549550B-C2D9-48E0-A502-86B259C596AA}">
      <formula1>"European, American"</formula1>
    </dataValidation>
    <dataValidation type="decimal" allowBlank="1" showInputMessage="1" showErrorMessage="1" sqref="D7" xr:uid="{72344CBF-10C5-46A7-B89C-FEC98511D456}">
      <formula1>0</formula1>
      <formula2>1000000000000</formula2>
    </dataValidation>
    <dataValidation type="date" allowBlank="1" showInputMessage="1" showErrorMessage="1" sqref="D8:F8 E12:R12 D6" xr:uid="{89C70CD0-7935-4034-ABCF-6A3AC20CEEE8}">
      <formula1>36526</formula1>
      <formula2>91677</formula2>
    </dataValidation>
    <dataValidation type="whole" allowBlank="1" showInputMessage="1" showErrorMessage="1" sqref="D9:D10" xr:uid="{FA3FB5C5-92B8-48E6-B4D6-C5D4FD5855BE}">
      <formula1>1</formula1>
      <formula2>500</formula2>
    </dataValidation>
    <dataValidation type="decimal" allowBlank="1" showInputMessage="1" showErrorMessage="1" sqref="D11" xr:uid="{D6793B7E-3553-44A8-ACE6-73D399FDE17A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pute_output">
          <controlPr defaultSize="0" autoLine="0" autoPict="0" r:id="rId5">
            <anchor moveWithCells="1">
              <from>
                <xdr:col>2</xdr:col>
                <xdr:colOff>68580</xdr:colOff>
                <xdr:row>15</xdr:row>
                <xdr:rowOff>144780</xdr:rowOff>
              </from>
              <to>
                <xdr:col>2</xdr:col>
                <xdr:colOff>2247900</xdr:colOff>
                <xdr:row>17</xdr:row>
                <xdr:rowOff>68580</xdr:rowOff>
              </to>
            </anchor>
          </controlPr>
        </control>
      </mc:Choice>
      <mc:Fallback>
        <control shapeId="1032" r:id="rId4" name="Compute_out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Njonze</dc:creator>
  <cp:lastModifiedBy>Giorgio Enrico Maria Serva</cp:lastModifiedBy>
  <dcterms:created xsi:type="dcterms:W3CDTF">2015-06-05T18:19:34Z</dcterms:created>
  <dcterms:modified xsi:type="dcterms:W3CDTF">2024-12-03T17:25:52Z</dcterms:modified>
</cp:coreProperties>
</file>