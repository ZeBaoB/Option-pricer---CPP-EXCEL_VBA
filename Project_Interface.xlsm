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lln\Documents\M2QF\C plus plus\Project\"/>
    </mc:Choice>
  </mc:AlternateContent>
  <xr:revisionPtr revIDLastSave="0" documentId="13_ncr:1_{F1D75F65-2A0B-427E-A5E5-87DA474CD52F}" xr6:coauthVersionLast="47" xr6:coauthVersionMax="47" xr10:uidLastSave="{00000000-0000-0000-0000-000000000000}"/>
  <bookViews>
    <workbookView xWindow="-120" yWindow="-120" windowWidth="38640" windowHeight="21120" tabRatio="460" xr2:uid="{00000000-000D-0000-FFFF-FFFF00000000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0" i="1" l="1"/>
  <c r="J21" i="1"/>
  <c r="J22" i="1" s="1"/>
  <c r="H25" i="1" s="1"/>
  <c r="F25" i="1" s="1"/>
  <c r="H22" i="1" l="1"/>
  <c r="F22" i="1" s="1"/>
  <c r="H23" i="1"/>
  <c r="F23" i="1" s="1"/>
  <c r="H24" i="1"/>
  <c r="F24" i="1" s="1"/>
  <c r="H26" i="1"/>
  <c r="F26" i="1" s="1"/>
  <c r="H21" i="1"/>
  <c r="F21" i="1" s="1"/>
</calcChain>
</file>

<file path=xl/sharedStrings.xml><?xml version="1.0" encoding="utf-8"?>
<sst xmlns="http://schemas.openxmlformats.org/spreadsheetml/2006/main" count="50" uniqueCount="43">
  <si>
    <t>Inputs</t>
  </si>
  <si>
    <t>Contract type :</t>
  </si>
  <si>
    <t>Pricing vanilla options using a finite difference method</t>
  </si>
  <si>
    <t>Exercice type :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</si>
  <si>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</si>
  <si>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</si>
  <si>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</si>
  <si>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</si>
  <si>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</si>
  <si>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</si>
  <si>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</si>
  <si>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</si>
  <si>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</si>
  <si>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</si>
  <si>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Time mesh parameters :</t>
  </si>
  <si>
    <t>Spot mesh parameters :</t>
  </si>
  <si>
    <t>Time :</t>
  </si>
  <si>
    <t>Option maturity (T) :</t>
  </si>
  <si>
    <t>Option strike (K) :</t>
  </si>
  <si>
    <t>Computation date (T0) :</t>
  </si>
  <si>
    <t>Current price of the underlying (S0) :</t>
  </si>
  <si>
    <r>
      <t>Volatility (</t>
    </r>
    <r>
      <rPr>
        <sz val="11"/>
        <color theme="1"/>
        <rFont val="Aptos Narrow"/>
        <family val="2"/>
      </rPr>
      <t>σ</t>
    </r>
    <r>
      <rPr>
        <sz val="11"/>
        <color theme="1"/>
        <rFont val="Calibri"/>
        <family val="2"/>
        <scheme val="minor"/>
      </rPr>
      <t>) :</t>
    </r>
  </si>
  <si>
    <t>Outputs</t>
  </si>
  <si>
    <t>Value of r :</t>
  </si>
  <si>
    <t>Risk free interest rate (r) table :</t>
  </si>
  <si>
    <t>Estimation</t>
  </si>
  <si>
    <t>American</t>
  </si>
  <si>
    <t>Put</t>
  </si>
  <si>
    <r>
      <t>Delta (</t>
    </r>
    <r>
      <rPr>
        <sz val="11"/>
        <color theme="1"/>
        <rFont val="Aptos Narrow"/>
        <family val="2"/>
      </rPr>
      <t>Δ)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</si>
  <si>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Theta (</t>
    </r>
    <r>
      <rPr>
        <sz val="11"/>
        <color theme="1"/>
        <rFont val="Aptos Narrow"/>
        <family val="2"/>
      </rPr>
      <t>θ) :</t>
    </r>
  </si>
  <si>
    <r>
      <t>Rho (ρ)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</si>
  <si>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Vega (</t>
    </r>
    <r>
      <rPr>
        <sz val="11"/>
        <color theme="1"/>
        <rFont val="Aptos Narrow"/>
        <family val="2"/>
      </rPr>
      <t>ν</t>
    </r>
    <r>
      <rPr>
        <sz val="11"/>
        <color theme="1"/>
        <rFont val="Calibri"/>
        <family val="2"/>
        <scheme val="minor"/>
      </rPr>
      <t>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</si>
  <si>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Gamma (</t>
    </r>
    <r>
      <rPr>
        <sz val="11"/>
        <color theme="1"/>
        <rFont val="Aptos Narrow"/>
        <family val="2"/>
      </rPr>
      <t>Γ</t>
    </r>
    <r>
      <rPr>
        <sz val="11"/>
        <color theme="1"/>
        <rFont val="Calibri"/>
        <family val="2"/>
        <scheme val="minor"/>
      </rPr>
      <t xml:space="preserve">) </t>
    </r>
    <r>
      <rPr>
        <sz val="14.3"/>
        <color theme="1"/>
        <rFont val="Calibri"/>
        <family val="2"/>
      </rPr>
      <t>:</t>
    </r>
    <r>
      <rPr>
        <sz val="11"/>
        <color theme="1"/>
        <rFont val="Calibri"/>
        <family val="2"/>
        <scheme val="minor"/>
      </rPr>
      <t xml:space="preserve"> </t>
    </r>
  </si>
  <si>
    <t>B&amp;S Results</t>
  </si>
  <si>
    <t>d1:</t>
  </si>
  <si>
    <t>d2:</t>
  </si>
  <si>
    <r>
      <t>Delta (</t>
    </r>
    <r>
      <rPr>
        <sz val="11"/>
        <color theme="2" tint="-0.499984740745262"/>
        <rFont val="Aptos Narrow"/>
        <family val="2"/>
      </rPr>
      <t>Δ)</t>
    </r>
    <r>
      <rPr>
        <sz val="14.3"/>
        <color theme="2" tint="-0.499984740745262"/>
        <rFont val="Calibri"/>
        <family val="2"/>
      </rPr>
      <t xml:space="preserve"> :</t>
    </r>
    <r>
      <rPr>
        <sz val="11"/>
        <color theme="2" tint="-0.499984740745262"/>
        <rFont val="Calibri"/>
        <family val="2"/>
        <scheme val="minor"/>
      </rPr>
      <t xml:space="preserve"> </t>
    </r>
  </si>
  <si>
    <r>
      <t>Gamma (</t>
    </r>
    <r>
      <rPr>
        <sz val="11"/>
        <color theme="2" tint="-0.499984740745262"/>
        <rFont val="Aptos Narrow"/>
        <family val="2"/>
      </rPr>
      <t>Γ</t>
    </r>
    <r>
      <rPr>
        <sz val="11"/>
        <color theme="2" tint="-0.499984740745262"/>
        <rFont val="Calibri"/>
        <family val="2"/>
        <scheme val="minor"/>
      </rPr>
      <t xml:space="preserve">) </t>
    </r>
    <r>
      <rPr>
        <sz val="14.3"/>
        <color theme="2" tint="-0.499984740745262"/>
        <rFont val="Calibri"/>
        <family val="2"/>
      </rPr>
      <t>:</t>
    </r>
    <r>
      <rPr>
        <sz val="11"/>
        <color theme="2" tint="-0.499984740745262"/>
        <rFont val="Calibri"/>
        <family val="2"/>
        <scheme val="minor"/>
      </rPr>
      <t xml:space="preserve"> </t>
    </r>
  </si>
  <si>
    <r>
      <t>Theta (</t>
    </r>
    <r>
      <rPr>
        <sz val="11"/>
        <color theme="2" tint="-0.499984740745262"/>
        <rFont val="Aptos Narrow"/>
        <family val="2"/>
      </rPr>
      <t>θ) :</t>
    </r>
  </si>
  <si>
    <r>
      <t>Rho (ρ)</t>
    </r>
    <r>
      <rPr>
        <sz val="14.3"/>
        <color theme="2" tint="-0.499984740745262"/>
        <rFont val="Calibri"/>
        <family val="2"/>
      </rPr>
      <t xml:space="preserve"> :</t>
    </r>
    <r>
      <rPr>
        <sz val="11"/>
        <color theme="2" tint="-0.499984740745262"/>
        <rFont val="Calibri"/>
        <family val="2"/>
        <scheme val="minor"/>
      </rPr>
      <t xml:space="preserve"> </t>
    </r>
  </si>
  <si>
    <r>
      <t>Vega (</t>
    </r>
    <r>
      <rPr>
        <sz val="11"/>
        <color theme="2" tint="-0.499984740745262"/>
        <rFont val="Aptos Narrow"/>
        <family val="2"/>
      </rPr>
      <t>ν</t>
    </r>
    <r>
      <rPr>
        <sz val="11"/>
        <color theme="2" tint="-0.499984740745262"/>
        <rFont val="Calibri"/>
        <family val="2"/>
        <scheme val="minor"/>
      </rPr>
      <t>)</t>
    </r>
    <r>
      <rPr>
        <sz val="14.3"/>
        <color theme="2" tint="-0.499984740745262"/>
        <rFont val="Calibri"/>
        <family val="2"/>
      </rPr>
      <t xml:space="preserve"> :</t>
    </r>
    <r>
      <rPr>
        <sz val="11"/>
        <color theme="2" tint="-0.499984740745262"/>
        <rFont val="Calibri"/>
        <family val="2"/>
        <scheme val="minor"/>
      </rPr>
      <t xml:space="preserve"> </t>
    </r>
  </si>
  <si>
    <t>Price (P) :</t>
  </si>
  <si>
    <t>Relative gaps between the 2 methods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</si>
</sst>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_-* #,##0.000000_-;\-* #,##0.000000_-;_-* &quot;-&quot;??_-;_-@_-"/>
    <numFmt numFmtId="166" formatCode="0.000"/>
    <numFmt numFmtId="176" formatCode="0.000%"/>
    <numFmt numFmtId="177" formatCode="0.0000%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Aptos Narrow"/>
      <family val="2"/>
    </font>
    <font>
      <sz val="14.3"/>
      <color theme="1"/>
      <name val="Calibri"/>
      <family val="2"/>
    </font>
    <font>
      <b/>
      <sz val="16"/>
      <color rgb="FF00B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2" tint="-0.499984740745262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2" tint="-0.499984740745262"/>
      <name val="Aptos Narrow"/>
      <family val="2"/>
    </font>
    <font>
      <sz val="14.3"/>
      <color theme="2" tint="-0.499984740745262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49998474074526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3">
    <xf numFmtId="0" fontId="0" fillId="0" borderId="0" xfId="0"/>
    <xf numFmtId="0" fontId="0" fillId="2" borderId="0" xfId="0" applyFill="1"/>
    <xf numFmtId="0" fontId="0" fillId="0" borderId="3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11" xfId="0" applyBorder="1"/>
    <xf numFmtId="0" fontId="2" fillId="4" borderId="0" xfId="0" applyFont="1" applyFill="1"/>
    <xf numFmtId="0" fontId="0" fillId="4" borderId="0" xfId="0" applyFill="1"/>
    <xf numFmtId="0" fontId="0" fillId="4" borderId="11" xfId="0" applyFill="1" applyBorder="1"/>
    <xf numFmtId="0" fontId="0" fillId="0" borderId="10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6" borderId="10" xfId="0" applyFill="1" applyBorder="1"/>
    <xf numFmtId="0" fontId="0" fillId="6" borderId="0" xfId="0" applyFill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5" borderId="0" xfId="0" applyFill="1"/>
    <xf numFmtId="0" fontId="0" fillId="5" borderId="11" xfId="0" applyFill="1" applyBorder="1"/>
    <xf numFmtId="0" fontId="2" fillId="7" borderId="7" xfId="0" applyFont="1" applyFill="1" applyBorder="1"/>
    <xf numFmtId="0" fontId="2" fillId="7" borderId="8" xfId="0" applyFont="1" applyFill="1" applyBorder="1"/>
    <xf numFmtId="0" fontId="0" fillId="7" borderId="8" xfId="0" applyFill="1" applyBorder="1"/>
    <xf numFmtId="0" fontId="0" fillId="7" borderId="9" xfId="0" applyFill="1" applyBorder="1"/>
    <xf numFmtId="0" fontId="0" fillId="0" borderId="0" xfId="0" applyAlignment="1" applyProtection="1">
      <alignment horizontal="right"/>
      <protection locked="0"/>
    </xf>
    <xf numFmtId="2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64" fontId="0" fillId="0" borderId="0" xfId="1" applyNumberFormat="1" applyFont="1" applyFill="1" applyBorder="1" applyProtection="1">
      <protection locked="0"/>
    </xf>
    <xf numFmtId="164" fontId="0" fillId="0" borderId="0" xfId="1" applyNumberFormat="1" applyFont="1" applyFill="1" applyBorder="1" applyAlignment="1" applyProtection="1">
      <protection locked="0"/>
    </xf>
    <xf numFmtId="10" fontId="0" fillId="0" borderId="1" xfId="0" applyNumberFormat="1" applyBorder="1" applyProtection="1">
      <protection locked="0"/>
    </xf>
    <xf numFmtId="10" fontId="0" fillId="0" borderId="2" xfId="0" applyNumberFormat="1" applyBorder="1" applyProtection="1">
      <protection locked="0"/>
    </xf>
    <xf numFmtId="0" fontId="0" fillId="5" borderId="0" xfId="0" applyFill="1" applyAlignment="1">
      <alignment horizontal="right"/>
    </xf>
    <xf numFmtId="9" fontId="0" fillId="0" borderId="0" xfId="0" applyNumberFormat="1" applyProtection="1">
      <protection locked="0"/>
    </xf>
    <xf numFmtId="165" fontId="0" fillId="0" borderId="0" xfId="1" applyNumberFormat="1" applyFont="1"/>
    <xf numFmtId="0" fontId="6" fillId="2" borderId="0" xfId="0" applyFont="1" applyFill="1" applyAlignment="1">
      <alignment vertical="center"/>
    </xf>
    <xf numFmtId="14" fontId="0" fillId="0" borderId="0" xfId="0" applyNumberFormat="1"/>
    <xf numFmtId="166" fontId="0" fillId="0" borderId="0" xfId="0" applyNumberFormat="1"/>
    <xf numFmtId="14" fontId="0" fillId="0" borderId="4" xfId="0" applyNumberFormat="1" applyBorder="1" applyProtection="1">
      <protection locked="0"/>
    </xf>
    <xf numFmtId="14" fontId="0" fillId="0" borderId="5" xfId="0" applyNumberFormat="1" applyBorder="1" applyProtection="1">
      <protection locked="0"/>
    </xf>
    <xf numFmtId="0" fontId="0" fillId="2" borderId="0" xfId="0" applyFill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0" fillId="0" borderId="10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2" fillId="5" borderId="10" xfId="0" applyFont="1" applyFill="1" applyBorder="1" applyAlignment="1">
      <alignment horizontal="right"/>
    </xf>
    <xf numFmtId="0" fontId="2" fillId="5" borderId="0" xfId="0" applyFont="1" applyFill="1" applyAlignment="1">
      <alignment horizontal="right"/>
    </xf>
    <xf numFmtId="11" fontId="0" fillId="0" borderId="0" xfId="0" applyNumberFormat="1" applyFill="1"/>
    <xf numFmtId="0" fontId="0" fillId="0" borderId="0" xfId="0" applyFill="1"/>
    <xf numFmtId="177" fontId="0" fillId="0" borderId="0" xfId="2" applyNumberFormat="1" applyFont="1" applyFill="1"/>
    <xf numFmtId="0" fontId="7" fillId="5" borderId="0" xfId="0" applyFont="1" applyFill="1" applyAlignment="1">
      <alignment horizontal="right"/>
    </xf>
    <xf numFmtId="0" fontId="8" fillId="5" borderId="0" xfId="0" applyFont="1" applyFill="1" applyAlignment="1">
      <alignment horizontal="right"/>
    </xf>
    <xf numFmtId="0" fontId="9" fillId="5" borderId="0" xfId="0" applyFont="1" applyFill="1"/>
    <xf numFmtId="0" fontId="10" fillId="0" borderId="0" xfId="0" applyFont="1" applyAlignment="1">
      <alignment horizontal="right"/>
    </xf>
    <xf numFmtId="166" fontId="10" fillId="0" borderId="0" xfId="0" applyNumberFormat="1" applyFont="1" applyFill="1"/>
    <xf numFmtId="0" fontId="10" fillId="5" borderId="0" xfId="0" applyFont="1" applyFill="1"/>
    <xf numFmtId="11" fontId="10" fillId="0" borderId="0" xfId="0" applyNumberFormat="1" applyFont="1" applyFill="1"/>
    <xf numFmtId="176" fontId="10" fillId="0" borderId="0" xfId="2" applyNumberFormat="1" applyFont="1" applyAlignment="1">
      <alignment horizontal="right"/>
    </xf>
    <xf numFmtId="166" fontId="10" fillId="0" borderId="0" xfId="0" applyNumberFormat="1" applyFont="1" applyFill="1" applyAlignment="1">
      <alignment horizontal="left"/>
    </xf>
    <xf numFmtId="0" fontId="8" fillId="5" borderId="0" xfId="0" applyFont="1" applyFill="1" applyAlignment="1">
      <alignment horizontal="left"/>
    </xf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4.5747085223099074E-2"/>
          <c:y val="0.13903854166666665"/>
          <c:w val="0.91757818981135564"/>
          <c:h val="0.69699340277777777"/>
        </c:manualLayout>
      </c:layout>
      <c:scatterChart>
        <c:scatterStyle val="smoothMarker"/>
        <c:varyColors val="0"/>
        <c:ser>
          <c:idx val="0"/>
          <c:order val="0"/>
          <c:tx>
            <c:v>Option price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96"/>
              <c:pt idx="0">
                <c:v>0</c:v>
              </c:pt>
              <c:pt idx="1">
                <c:v>0.70230000000000004</c:v>
              </c:pt>
              <c:pt idx="2">
                <c:v>1.4047000000000001</c:v>
              </c:pt>
              <c:pt idx="3">
                <c:v>2.1070000000000002</c:v>
              </c:pt>
              <c:pt idx="4">
                <c:v>2.8094000000000001</c:v>
              </c:pt>
              <c:pt idx="5">
                <c:v>3.5116999999999998</c:v>
              </c:pt>
              <c:pt idx="6">
                <c:v>4.2140000000000004</c:v>
              </c:pt>
              <c:pt idx="7">
                <c:v>4.9164000000000003</c:v>
              </c:pt>
              <c:pt idx="8">
                <c:v>5.6186999999999996</c:v>
              </c:pt>
              <c:pt idx="9">
                <c:v>6.3211000000000004</c:v>
              </c:pt>
              <c:pt idx="10">
                <c:v>7.0233999999999996</c:v>
              </c:pt>
              <c:pt idx="11">
                <c:v>7.7257999999999996</c:v>
              </c:pt>
              <c:pt idx="12">
                <c:v>8.4281000000000006</c:v>
              </c:pt>
              <c:pt idx="13">
                <c:v>9.1303999999999998</c:v>
              </c:pt>
              <c:pt idx="14">
                <c:v>9.8328000000000007</c:v>
              </c:pt>
              <c:pt idx="15">
                <c:v>10.5351</c:v>
              </c:pt>
              <c:pt idx="16">
                <c:v>11.237500000000001</c:v>
              </c:pt>
              <c:pt idx="17">
                <c:v>11.9398</c:v>
              </c:pt>
              <c:pt idx="18">
                <c:v>12.642099999999999</c:v>
              </c:pt>
              <c:pt idx="19">
                <c:v>13.3445</c:v>
              </c:pt>
              <c:pt idx="20">
                <c:v>14.046799999999999</c:v>
              </c:pt>
              <c:pt idx="21">
                <c:v>14.7492</c:v>
              </c:pt>
              <c:pt idx="22">
                <c:v>15.451499999999999</c:v>
              </c:pt>
              <c:pt idx="23">
                <c:v>16.1538</c:v>
              </c:pt>
              <c:pt idx="24">
                <c:v>16.856200000000001</c:v>
              </c:pt>
              <c:pt idx="25">
                <c:v>17.558499999999999</c:v>
              </c:pt>
              <c:pt idx="26">
                <c:v>18.260899999999999</c:v>
              </c:pt>
              <c:pt idx="27">
                <c:v>18.963200000000001</c:v>
              </c:pt>
              <c:pt idx="28">
                <c:v>19.665600000000001</c:v>
              </c:pt>
              <c:pt idx="29">
                <c:v>20.367899999999999</c:v>
              </c:pt>
              <c:pt idx="30">
                <c:v>21.0702</c:v>
              </c:pt>
              <c:pt idx="31">
                <c:v>21.772600000000001</c:v>
              </c:pt>
              <c:pt idx="32">
                <c:v>22.474900000000002</c:v>
              </c:pt>
              <c:pt idx="33">
                <c:v>23.177299999999999</c:v>
              </c:pt>
              <c:pt idx="34">
                <c:v>23.8796</c:v>
              </c:pt>
              <c:pt idx="35">
                <c:v>24.581900000000001</c:v>
              </c:pt>
              <c:pt idx="36">
                <c:v>25.284300000000002</c:v>
              </c:pt>
              <c:pt idx="37">
                <c:v>25.986599999999999</c:v>
              </c:pt>
              <c:pt idx="38">
                <c:v>26.689</c:v>
              </c:pt>
              <c:pt idx="39">
                <c:v>27.391300000000001</c:v>
              </c:pt>
              <c:pt idx="40">
                <c:v>28.093599999999999</c:v>
              </c:pt>
              <c:pt idx="41">
                <c:v>28.795999999999999</c:v>
              </c:pt>
              <c:pt idx="42">
                <c:v>29.4983</c:v>
              </c:pt>
              <c:pt idx="43">
                <c:v>30.200700000000001</c:v>
              </c:pt>
              <c:pt idx="44">
                <c:v>30.902999999999999</c:v>
              </c:pt>
              <c:pt idx="45">
                <c:v>31.605399999999999</c:v>
              </c:pt>
              <c:pt idx="46">
                <c:v>32.307699999999997</c:v>
              </c:pt>
              <c:pt idx="47">
                <c:v>33.01</c:v>
              </c:pt>
              <c:pt idx="48">
                <c:v>33.712400000000002</c:v>
              </c:pt>
              <c:pt idx="49">
                <c:v>34.414700000000003</c:v>
              </c:pt>
              <c:pt idx="50">
                <c:v>35.117100000000001</c:v>
              </c:pt>
              <c:pt idx="51">
                <c:v>35.819400000000002</c:v>
              </c:pt>
              <c:pt idx="52">
                <c:v>36.521700000000003</c:v>
              </c:pt>
              <c:pt idx="53">
                <c:v>37.2241</c:v>
              </c:pt>
              <c:pt idx="54">
                <c:v>37.926400000000001</c:v>
              </c:pt>
              <c:pt idx="55">
                <c:v>38.628799999999998</c:v>
              </c:pt>
              <c:pt idx="56">
                <c:v>39.331099999999999</c:v>
              </c:pt>
              <c:pt idx="57">
                <c:v>40.0334</c:v>
              </c:pt>
              <c:pt idx="58">
                <c:v>40.735799999999998</c:v>
              </c:pt>
              <c:pt idx="59">
                <c:v>41.438099999999999</c:v>
              </c:pt>
              <c:pt idx="60">
                <c:v>42.140500000000003</c:v>
              </c:pt>
              <c:pt idx="61">
                <c:v>42.842799999999997</c:v>
              </c:pt>
              <c:pt idx="62">
                <c:v>43.545200000000001</c:v>
              </c:pt>
              <c:pt idx="63">
                <c:v>44.247500000000002</c:v>
              </c:pt>
              <c:pt idx="64">
                <c:v>44.949800000000003</c:v>
              </c:pt>
              <c:pt idx="65">
                <c:v>45.652200000000001</c:v>
              </c:pt>
              <c:pt idx="66">
                <c:v>46.354500000000002</c:v>
              </c:pt>
              <c:pt idx="67">
                <c:v>47.056899999999999</c:v>
              </c:pt>
              <c:pt idx="68">
                <c:v>47.7592</c:v>
              </c:pt>
              <c:pt idx="69">
                <c:v>48.461500000000001</c:v>
              </c:pt>
              <c:pt idx="70">
                <c:v>49.163899999999998</c:v>
              </c:pt>
              <c:pt idx="71">
                <c:v>49.866199999999999</c:v>
              </c:pt>
              <c:pt idx="72">
                <c:v>50.568600000000004</c:v>
              </c:pt>
              <c:pt idx="73">
                <c:v>51.270899999999997</c:v>
              </c:pt>
              <c:pt idx="74">
                <c:v>51.973199999999999</c:v>
              </c:pt>
              <c:pt idx="75">
                <c:v>52.675600000000003</c:v>
              </c:pt>
              <c:pt idx="76">
                <c:v>53.377899999999997</c:v>
              </c:pt>
              <c:pt idx="77">
                <c:v>54.080300000000001</c:v>
              </c:pt>
              <c:pt idx="78">
                <c:v>54.782600000000002</c:v>
              </c:pt>
              <c:pt idx="79">
                <c:v>55.484900000000003</c:v>
              </c:pt>
              <c:pt idx="80">
                <c:v>56.1873</c:v>
              </c:pt>
              <c:pt idx="81">
                <c:v>56.889600000000002</c:v>
              </c:pt>
              <c:pt idx="82">
                <c:v>57.591999999999999</c:v>
              </c:pt>
              <c:pt idx="83">
                <c:v>58.2943</c:v>
              </c:pt>
              <c:pt idx="84">
                <c:v>58.996699999999997</c:v>
              </c:pt>
              <c:pt idx="85">
                <c:v>59.698999999999998</c:v>
              </c:pt>
              <c:pt idx="86">
                <c:v>60.401299999999999</c:v>
              </c:pt>
              <c:pt idx="87">
                <c:v>61.103700000000003</c:v>
              </c:pt>
              <c:pt idx="88">
                <c:v>61.805999999999997</c:v>
              </c:pt>
              <c:pt idx="89">
                <c:v>62.508400000000002</c:v>
              </c:pt>
              <c:pt idx="90">
                <c:v>63.210700000000003</c:v>
              </c:pt>
              <c:pt idx="91">
                <c:v>63.912999999999997</c:v>
              </c:pt>
              <c:pt idx="92">
                <c:v>64.615399999999994</c:v>
              </c:pt>
              <c:pt idx="93">
                <c:v>65.317700000000002</c:v>
              </c:pt>
              <c:pt idx="94">
                <c:v>66.020099999999999</c:v>
              </c:pt>
              <c:pt idx="95">
                <c:v>66.722399999999993</c:v>
              </c:pt>
              <c:pt idx="96">
                <c:v>67.424700000000001</c:v>
              </c:pt>
              <c:pt idx="97">
                <c:v>68.127099999999999</c:v>
              </c:pt>
              <c:pt idx="98">
                <c:v>68.829400000000007</c:v>
              </c:pt>
              <c:pt idx="99">
                <c:v>69.531800000000004</c:v>
              </c:pt>
              <c:pt idx="100">
                <c:v>70.234099999999998</c:v>
              </c:pt>
              <c:pt idx="101">
                <c:v>70.936499999999995</c:v>
              </c:pt>
              <c:pt idx="102">
                <c:v>71.638800000000003</c:v>
              </c:pt>
              <c:pt idx="103">
                <c:v>72.341099999999997</c:v>
              </c:pt>
              <c:pt idx="104">
                <c:v>73.043499999999995</c:v>
              </c:pt>
              <c:pt idx="105">
                <c:v>73.745800000000003</c:v>
              </c:pt>
              <c:pt idx="106">
                <c:v>74.4482</c:v>
              </c:pt>
              <c:pt idx="107">
                <c:v>75.150499999999994</c:v>
              </c:pt>
              <c:pt idx="108">
                <c:v>75.852800000000002</c:v>
              </c:pt>
              <c:pt idx="109">
                <c:v>76.555199999999999</c:v>
              </c:pt>
              <c:pt idx="110">
                <c:v>77.257499999999993</c:v>
              </c:pt>
              <c:pt idx="111">
                <c:v>77.959900000000005</c:v>
              </c:pt>
              <c:pt idx="112">
                <c:v>78.662199999999999</c:v>
              </c:pt>
              <c:pt idx="113">
                <c:v>79.364500000000007</c:v>
              </c:pt>
              <c:pt idx="114">
                <c:v>80.066900000000004</c:v>
              </c:pt>
              <c:pt idx="115">
                <c:v>80.769199999999998</c:v>
              </c:pt>
              <c:pt idx="116">
                <c:v>81.471599999999995</c:v>
              </c:pt>
              <c:pt idx="117">
                <c:v>82.173900000000003</c:v>
              </c:pt>
              <c:pt idx="118">
                <c:v>82.876300000000001</c:v>
              </c:pt>
              <c:pt idx="119">
                <c:v>83.578599999999994</c:v>
              </c:pt>
              <c:pt idx="120">
                <c:v>84.280900000000003</c:v>
              </c:pt>
              <c:pt idx="121">
                <c:v>84.9833</c:v>
              </c:pt>
              <c:pt idx="122">
                <c:v>85.685599999999994</c:v>
              </c:pt>
              <c:pt idx="123">
                <c:v>86.388000000000005</c:v>
              </c:pt>
              <c:pt idx="124">
                <c:v>87.090299999999999</c:v>
              </c:pt>
              <c:pt idx="125">
                <c:v>87.792599999999993</c:v>
              </c:pt>
              <c:pt idx="126">
                <c:v>88.495000000000005</c:v>
              </c:pt>
              <c:pt idx="127">
                <c:v>89.197299999999998</c:v>
              </c:pt>
              <c:pt idx="128">
                <c:v>89.899699999999996</c:v>
              </c:pt>
              <c:pt idx="129">
                <c:v>90.602000000000004</c:v>
              </c:pt>
              <c:pt idx="130">
                <c:v>91.304299999999998</c:v>
              </c:pt>
              <c:pt idx="131">
                <c:v>92.006699999999995</c:v>
              </c:pt>
              <c:pt idx="132">
                <c:v>92.709000000000003</c:v>
              </c:pt>
              <c:pt idx="133">
                <c:v>93.4114</c:v>
              </c:pt>
              <c:pt idx="134">
                <c:v>94.113699999999994</c:v>
              </c:pt>
              <c:pt idx="135">
                <c:v>94.816100000000006</c:v>
              </c:pt>
              <c:pt idx="136">
                <c:v>95.5184</c:v>
              </c:pt>
              <c:pt idx="137">
                <c:v>96.220699999999994</c:v>
              </c:pt>
              <c:pt idx="138">
                <c:v>96.923100000000005</c:v>
              </c:pt>
              <c:pt idx="139">
                <c:v>97.625399999999999</c:v>
              </c:pt>
              <c:pt idx="140">
                <c:v>98.327799999999996</c:v>
              </c:pt>
              <c:pt idx="141">
                <c:v>99.030100000000004</c:v>
              </c:pt>
              <c:pt idx="142">
                <c:v>99.732399999999998</c:v>
              </c:pt>
              <c:pt idx="143">
                <c:v>100.4348</c:v>
              </c:pt>
              <c:pt idx="144">
                <c:v>101.1371</c:v>
              </c:pt>
              <c:pt idx="145">
                <c:v>101.8395</c:v>
              </c:pt>
              <c:pt idx="146">
                <c:v>102.54179999999999</c:v>
              </c:pt>
              <c:pt idx="147">
                <c:v>103.2441</c:v>
              </c:pt>
              <c:pt idx="148">
                <c:v>103.9465</c:v>
              </c:pt>
              <c:pt idx="149">
                <c:v>104.64879999999999</c:v>
              </c:pt>
              <c:pt idx="150">
                <c:v>105.35120000000001</c:v>
              </c:pt>
              <c:pt idx="151">
                <c:v>106.0535</c:v>
              </c:pt>
              <c:pt idx="152">
                <c:v>106.7559</c:v>
              </c:pt>
              <c:pt idx="153">
                <c:v>107.45820000000001</c:v>
              </c:pt>
              <c:pt idx="154">
                <c:v>108.1605</c:v>
              </c:pt>
              <c:pt idx="155">
                <c:v>108.8629</c:v>
              </c:pt>
              <c:pt idx="156">
                <c:v>109.5652</c:v>
              </c:pt>
              <c:pt idx="157">
                <c:v>110.2676</c:v>
              </c:pt>
              <c:pt idx="158">
                <c:v>110.9699</c:v>
              </c:pt>
              <c:pt idx="159">
                <c:v>111.6722</c:v>
              </c:pt>
              <c:pt idx="160">
                <c:v>112.3746</c:v>
              </c:pt>
              <c:pt idx="161">
                <c:v>113.07689999999999</c:v>
              </c:pt>
              <c:pt idx="162">
                <c:v>113.77930000000001</c:v>
              </c:pt>
              <c:pt idx="163">
                <c:v>114.4816</c:v>
              </c:pt>
              <c:pt idx="164">
                <c:v>115.18389999999999</c:v>
              </c:pt>
              <c:pt idx="165">
                <c:v>115.88630000000001</c:v>
              </c:pt>
              <c:pt idx="166">
                <c:v>116.5886</c:v>
              </c:pt>
              <c:pt idx="167">
                <c:v>117.291</c:v>
              </c:pt>
              <c:pt idx="168">
                <c:v>117.9933</c:v>
              </c:pt>
              <c:pt idx="169">
                <c:v>118.6957</c:v>
              </c:pt>
              <c:pt idx="170">
                <c:v>119.398</c:v>
              </c:pt>
              <c:pt idx="171">
                <c:v>120.1003</c:v>
              </c:pt>
              <c:pt idx="172">
                <c:v>120.8027</c:v>
              </c:pt>
              <c:pt idx="173">
                <c:v>121.505</c:v>
              </c:pt>
              <c:pt idx="174">
                <c:v>122.20740000000001</c:v>
              </c:pt>
              <c:pt idx="175">
                <c:v>122.9097</c:v>
              </c:pt>
              <c:pt idx="176">
                <c:v>123.61199999999999</c:v>
              </c:pt>
              <c:pt idx="177">
                <c:v>124.31440000000001</c:v>
              </c:pt>
              <c:pt idx="178">
                <c:v>125.0167</c:v>
              </c:pt>
              <c:pt idx="179">
                <c:v>125.7191</c:v>
              </c:pt>
              <c:pt idx="180">
                <c:v>126.42140000000001</c:v>
              </c:pt>
              <c:pt idx="181">
                <c:v>127.1237</c:v>
              </c:pt>
              <c:pt idx="182">
                <c:v>127.8261</c:v>
              </c:pt>
              <c:pt idx="183">
                <c:v>128.5284</c:v>
              </c:pt>
              <c:pt idx="184">
                <c:v>129.23079999999999</c:v>
              </c:pt>
              <c:pt idx="185">
                <c:v>129.9331</c:v>
              </c:pt>
              <c:pt idx="186">
                <c:v>130.63550000000001</c:v>
              </c:pt>
              <c:pt idx="187">
                <c:v>131.33779999999999</c:v>
              </c:pt>
              <c:pt idx="188">
                <c:v>132.0401</c:v>
              </c:pt>
              <c:pt idx="189">
                <c:v>132.74250000000001</c:v>
              </c:pt>
              <c:pt idx="190">
                <c:v>133.44479999999999</c:v>
              </c:pt>
              <c:pt idx="191">
                <c:v>134.1472</c:v>
              </c:pt>
              <c:pt idx="192">
                <c:v>134.84950000000001</c:v>
              </c:pt>
              <c:pt idx="193">
                <c:v>135.55179999999999</c:v>
              </c:pt>
              <c:pt idx="194">
                <c:v>136.2542</c:v>
              </c:pt>
              <c:pt idx="195">
                <c:v>136.95650000000001</c:v>
              </c:pt>
              <c:pt idx="196">
                <c:v>137.65889999999999</c:v>
              </c:pt>
              <c:pt idx="197">
                <c:v>138.3612</c:v>
              </c:pt>
              <c:pt idx="198">
                <c:v>139.0635</c:v>
              </c:pt>
              <c:pt idx="199">
                <c:v>139.76589999999999</c:v>
              </c:pt>
              <c:pt idx="200">
                <c:v>140.4682</c:v>
              </c:pt>
              <c:pt idx="201">
                <c:v>141.17060000000001</c:v>
              </c:pt>
              <c:pt idx="202">
                <c:v>141.87289999999999</c:v>
              </c:pt>
              <c:pt idx="203">
                <c:v>142.5753</c:v>
              </c:pt>
              <c:pt idx="204">
                <c:v>143.27760000000001</c:v>
              </c:pt>
              <c:pt idx="205">
                <c:v>143.97989999999999</c:v>
              </c:pt>
              <c:pt idx="206">
                <c:v>144.6823</c:v>
              </c:pt>
              <c:pt idx="207">
                <c:v>145.38460000000001</c:v>
              </c:pt>
              <c:pt idx="208">
                <c:v>146.08699999999999</c:v>
              </c:pt>
              <c:pt idx="209">
                <c:v>146.7893</c:v>
              </c:pt>
              <c:pt idx="210">
                <c:v>147.49160000000001</c:v>
              </c:pt>
              <c:pt idx="211">
                <c:v>148.19399999999999</c:v>
              </c:pt>
              <c:pt idx="212">
                <c:v>148.8963</c:v>
              </c:pt>
              <c:pt idx="213">
                <c:v>149.59870000000001</c:v>
              </c:pt>
              <c:pt idx="214">
                <c:v>150.30099999999999</c:v>
              </c:pt>
              <c:pt idx="215">
                <c:v>151.0033</c:v>
              </c:pt>
              <c:pt idx="216">
                <c:v>151.70570000000001</c:v>
              </c:pt>
              <c:pt idx="217">
                <c:v>152.40799999999999</c:v>
              </c:pt>
              <c:pt idx="218">
                <c:v>153.1104</c:v>
              </c:pt>
              <c:pt idx="219">
                <c:v>153.81270000000001</c:v>
              </c:pt>
              <c:pt idx="220">
                <c:v>154.51509999999999</c:v>
              </c:pt>
              <c:pt idx="221">
                <c:v>155.2174</c:v>
              </c:pt>
              <c:pt idx="222">
                <c:v>155.91970000000001</c:v>
              </c:pt>
              <c:pt idx="223">
                <c:v>156.62209999999999</c:v>
              </c:pt>
              <c:pt idx="224">
                <c:v>157.3244</c:v>
              </c:pt>
              <c:pt idx="225">
                <c:v>158.02680000000001</c:v>
              </c:pt>
              <c:pt idx="226">
                <c:v>158.72909999999999</c:v>
              </c:pt>
              <c:pt idx="227">
                <c:v>159.4314</c:v>
              </c:pt>
              <c:pt idx="228">
                <c:v>160.13380000000001</c:v>
              </c:pt>
              <c:pt idx="229">
                <c:v>160.83609999999999</c:v>
              </c:pt>
              <c:pt idx="230">
                <c:v>161.5385</c:v>
              </c:pt>
              <c:pt idx="231">
                <c:v>162.24080000000001</c:v>
              </c:pt>
              <c:pt idx="232">
                <c:v>162.94309999999999</c:v>
              </c:pt>
              <c:pt idx="233">
                <c:v>163.6455</c:v>
              </c:pt>
              <c:pt idx="234">
                <c:v>164.34780000000001</c:v>
              </c:pt>
              <c:pt idx="235">
                <c:v>165.05019999999999</c:v>
              </c:pt>
              <c:pt idx="236">
                <c:v>165.7525</c:v>
              </c:pt>
              <c:pt idx="237">
                <c:v>166.45480000000001</c:v>
              </c:pt>
              <c:pt idx="238">
                <c:v>167.15719999999999</c:v>
              </c:pt>
              <c:pt idx="239">
                <c:v>167.8595</c:v>
              </c:pt>
              <c:pt idx="240">
                <c:v>168.56190000000001</c:v>
              </c:pt>
              <c:pt idx="241">
                <c:v>169.26419999999999</c:v>
              </c:pt>
              <c:pt idx="242">
                <c:v>169.9666</c:v>
              </c:pt>
              <c:pt idx="243">
                <c:v>170.66890000000001</c:v>
              </c:pt>
              <c:pt idx="244">
                <c:v>171.37119999999999</c:v>
              </c:pt>
              <c:pt idx="245">
                <c:v>172.0736</c:v>
              </c:pt>
              <c:pt idx="246">
                <c:v>172.77590000000001</c:v>
              </c:pt>
              <c:pt idx="247">
                <c:v>173.47829999999999</c:v>
              </c:pt>
              <c:pt idx="248">
                <c:v>174.1806</c:v>
              </c:pt>
              <c:pt idx="249">
                <c:v>174.88290000000001</c:v>
              </c:pt>
              <c:pt idx="250">
                <c:v>175.58529999999999</c:v>
              </c:pt>
              <c:pt idx="251">
                <c:v>176.2876</c:v>
              </c:pt>
              <c:pt idx="252">
                <c:v>176.99</c:v>
              </c:pt>
              <c:pt idx="253">
                <c:v>177.69229999999999</c:v>
              </c:pt>
              <c:pt idx="254">
                <c:v>178.3946</c:v>
              </c:pt>
              <c:pt idx="255">
                <c:v>179.09700000000001</c:v>
              </c:pt>
              <c:pt idx="256">
                <c:v>179.79929999999999</c:v>
              </c:pt>
              <c:pt idx="257">
                <c:v>180.5017</c:v>
              </c:pt>
              <c:pt idx="258">
                <c:v>181.20400000000001</c:v>
              </c:pt>
              <c:pt idx="259">
                <c:v>181.90639999999999</c:v>
              </c:pt>
              <c:pt idx="260">
                <c:v>182.6087</c:v>
              </c:pt>
              <c:pt idx="261">
                <c:v>183.31100000000001</c:v>
              </c:pt>
              <c:pt idx="262">
                <c:v>184.01339999999999</c:v>
              </c:pt>
              <c:pt idx="263">
                <c:v>184.7157</c:v>
              </c:pt>
              <c:pt idx="264">
                <c:v>185.41810000000001</c:v>
              </c:pt>
              <c:pt idx="265">
                <c:v>186.12039999999999</c:v>
              </c:pt>
              <c:pt idx="266">
                <c:v>186.8227</c:v>
              </c:pt>
              <c:pt idx="267">
                <c:v>187.52510000000001</c:v>
              </c:pt>
              <c:pt idx="268">
                <c:v>188.22739999999999</c:v>
              </c:pt>
              <c:pt idx="269">
                <c:v>188.9298</c:v>
              </c:pt>
              <c:pt idx="270">
                <c:v>189.63210000000001</c:v>
              </c:pt>
              <c:pt idx="271">
                <c:v>190.33439999999999</c:v>
              </c:pt>
              <c:pt idx="272">
                <c:v>191.0368</c:v>
              </c:pt>
              <c:pt idx="273">
                <c:v>191.73910000000001</c:v>
              </c:pt>
              <c:pt idx="274">
                <c:v>192.44149999999999</c:v>
              </c:pt>
              <c:pt idx="275">
                <c:v>193.1438</c:v>
              </c:pt>
              <c:pt idx="276">
                <c:v>193.84620000000001</c:v>
              </c:pt>
              <c:pt idx="277">
                <c:v>194.54849999999999</c:v>
              </c:pt>
              <c:pt idx="278">
                <c:v>195.2508</c:v>
              </c:pt>
              <c:pt idx="279">
                <c:v>195.95320000000001</c:v>
              </c:pt>
              <c:pt idx="280">
                <c:v>196.65549999999999</c:v>
              </c:pt>
              <c:pt idx="281">
                <c:v>197.3579</c:v>
              </c:pt>
              <c:pt idx="282">
                <c:v>198.06020000000001</c:v>
              </c:pt>
              <c:pt idx="283">
                <c:v>198.76249999999999</c:v>
              </c:pt>
              <c:pt idx="284">
                <c:v>199.4649</c:v>
              </c:pt>
              <c:pt idx="285">
                <c:v>200.16720000000001</c:v>
              </c:pt>
              <c:pt idx="286">
                <c:v>200.86959999999999</c:v>
              </c:pt>
              <c:pt idx="287">
                <c:v>201.5719</c:v>
              </c:pt>
              <c:pt idx="288">
                <c:v>202.27420000000001</c:v>
              </c:pt>
              <c:pt idx="289">
                <c:v>202.97659999999999</c:v>
              </c:pt>
              <c:pt idx="290">
                <c:v>203.6789</c:v>
              </c:pt>
              <c:pt idx="291">
                <c:v>204.38130000000001</c:v>
              </c:pt>
              <c:pt idx="292">
                <c:v>205.08359999999999</c:v>
              </c:pt>
              <c:pt idx="293">
                <c:v>205.786</c:v>
              </c:pt>
              <c:pt idx="294">
                <c:v>206.48830000000001</c:v>
              </c:pt>
              <c:pt idx="295">
                <c:v>207.19059999999999</c:v>
              </c:pt>
            </c:numLit>
          </c:xVal>
          <c:yVal>
            <c:numLit>
              <c:formatCode>General</c:formatCode>
              <c:ptCount val="296"/>
              <c:pt idx="0">
                <c:v>100</c:v>
              </c:pt>
              <c:pt idx="1">
                <c:v>99.297700000000006</c:v>
              </c:pt>
              <c:pt idx="2">
                <c:v>98.595299999999995</c:v>
              </c:pt>
              <c:pt idx="3">
                <c:v>97.893000000000001</c:v>
              </c:pt>
              <c:pt idx="4">
                <c:v>97.190600000000003</c:v>
              </c:pt>
              <c:pt idx="5">
                <c:v>96.488299999999995</c:v>
              </c:pt>
              <c:pt idx="6">
                <c:v>95.786000000000001</c:v>
              </c:pt>
              <c:pt idx="7">
                <c:v>95.083600000000004</c:v>
              </c:pt>
              <c:pt idx="8">
                <c:v>94.381299999999996</c:v>
              </c:pt>
              <c:pt idx="9">
                <c:v>93.678899999999999</c:v>
              </c:pt>
              <c:pt idx="10">
                <c:v>92.976600000000005</c:v>
              </c:pt>
              <c:pt idx="11">
                <c:v>92.274199999999993</c:v>
              </c:pt>
              <c:pt idx="12">
                <c:v>91.571899999999999</c:v>
              </c:pt>
              <c:pt idx="13">
                <c:v>90.869600000000005</c:v>
              </c:pt>
              <c:pt idx="14">
                <c:v>90.167199999999994</c:v>
              </c:pt>
              <c:pt idx="15">
                <c:v>89.4649</c:v>
              </c:pt>
              <c:pt idx="16">
                <c:v>88.762500000000003</c:v>
              </c:pt>
              <c:pt idx="17">
                <c:v>88.060199999999995</c:v>
              </c:pt>
              <c:pt idx="18">
                <c:v>87.357900000000001</c:v>
              </c:pt>
              <c:pt idx="19">
                <c:v>86.655500000000004</c:v>
              </c:pt>
              <c:pt idx="20">
                <c:v>85.953199999999995</c:v>
              </c:pt>
              <c:pt idx="21">
                <c:v>85.250799999999998</c:v>
              </c:pt>
              <c:pt idx="22">
                <c:v>84.548500000000004</c:v>
              </c:pt>
              <c:pt idx="23">
                <c:v>83.846199999999996</c:v>
              </c:pt>
              <c:pt idx="24">
                <c:v>83.143799999999999</c:v>
              </c:pt>
              <c:pt idx="25">
                <c:v>82.441500000000005</c:v>
              </c:pt>
              <c:pt idx="26">
                <c:v>81.739099999999993</c:v>
              </c:pt>
              <c:pt idx="27">
                <c:v>81.036799999999999</c:v>
              </c:pt>
              <c:pt idx="28">
                <c:v>80.334400000000002</c:v>
              </c:pt>
              <c:pt idx="29">
                <c:v>79.632099999999994</c:v>
              </c:pt>
              <c:pt idx="30">
                <c:v>78.9298</c:v>
              </c:pt>
              <c:pt idx="31">
                <c:v>78.227400000000003</c:v>
              </c:pt>
              <c:pt idx="32">
                <c:v>77.525099999999995</c:v>
              </c:pt>
              <c:pt idx="33">
                <c:v>76.822699999999998</c:v>
              </c:pt>
              <c:pt idx="34">
                <c:v>76.120400000000004</c:v>
              </c:pt>
              <c:pt idx="35">
                <c:v>75.418099999999995</c:v>
              </c:pt>
              <c:pt idx="36">
                <c:v>74.715699999999998</c:v>
              </c:pt>
              <c:pt idx="37">
                <c:v>74.013400000000004</c:v>
              </c:pt>
              <c:pt idx="38">
                <c:v>73.311000000000007</c:v>
              </c:pt>
              <c:pt idx="39">
                <c:v>72.608699999999999</c:v>
              </c:pt>
              <c:pt idx="40">
                <c:v>71.906400000000005</c:v>
              </c:pt>
              <c:pt idx="41">
                <c:v>71.203999999999994</c:v>
              </c:pt>
              <c:pt idx="42">
                <c:v>70.5017</c:v>
              </c:pt>
              <c:pt idx="43">
                <c:v>69.799300000000002</c:v>
              </c:pt>
              <c:pt idx="44">
                <c:v>69.096999999999994</c:v>
              </c:pt>
              <c:pt idx="45">
                <c:v>68.394599999999997</c:v>
              </c:pt>
              <c:pt idx="46">
                <c:v>67.692300000000003</c:v>
              </c:pt>
              <c:pt idx="47">
                <c:v>66.989999999999995</c:v>
              </c:pt>
              <c:pt idx="48">
                <c:v>66.287599999999998</c:v>
              </c:pt>
              <c:pt idx="49">
                <c:v>65.585300000000004</c:v>
              </c:pt>
              <c:pt idx="50">
                <c:v>64.882900000000006</c:v>
              </c:pt>
              <c:pt idx="51">
                <c:v>64.180599999999998</c:v>
              </c:pt>
              <c:pt idx="52">
                <c:v>63.478299999999997</c:v>
              </c:pt>
              <c:pt idx="53">
                <c:v>62.7759</c:v>
              </c:pt>
              <c:pt idx="54">
                <c:v>62.073599999999999</c:v>
              </c:pt>
              <c:pt idx="55">
                <c:v>61.371200000000002</c:v>
              </c:pt>
              <c:pt idx="56">
                <c:v>60.668900000000001</c:v>
              </c:pt>
              <c:pt idx="57">
                <c:v>59.9666</c:v>
              </c:pt>
              <c:pt idx="58">
                <c:v>59.264200000000002</c:v>
              </c:pt>
              <c:pt idx="59">
                <c:v>58.561900000000001</c:v>
              </c:pt>
              <c:pt idx="60">
                <c:v>57.859499999999997</c:v>
              </c:pt>
              <c:pt idx="61">
                <c:v>57.157200000000003</c:v>
              </c:pt>
              <c:pt idx="62">
                <c:v>56.454799999999999</c:v>
              </c:pt>
              <c:pt idx="63">
                <c:v>55.752499999999998</c:v>
              </c:pt>
              <c:pt idx="64">
                <c:v>55.050199999999997</c:v>
              </c:pt>
              <c:pt idx="65">
                <c:v>54.347799999999999</c:v>
              </c:pt>
              <c:pt idx="66">
                <c:v>53.645499999999998</c:v>
              </c:pt>
              <c:pt idx="67">
                <c:v>52.943100000000001</c:v>
              </c:pt>
              <c:pt idx="68">
                <c:v>52.2408</c:v>
              </c:pt>
              <c:pt idx="69">
                <c:v>51.538499999999999</c:v>
              </c:pt>
              <c:pt idx="70">
                <c:v>50.836100000000002</c:v>
              </c:pt>
              <c:pt idx="71">
                <c:v>50.133800000000001</c:v>
              </c:pt>
              <c:pt idx="72">
                <c:v>49.431399999999996</c:v>
              </c:pt>
              <c:pt idx="73">
                <c:v>48.729100000000003</c:v>
              </c:pt>
              <c:pt idx="74">
                <c:v>48.026800000000001</c:v>
              </c:pt>
              <c:pt idx="75">
                <c:v>47.324399999999997</c:v>
              </c:pt>
              <c:pt idx="76">
                <c:v>46.622100000000003</c:v>
              </c:pt>
              <c:pt idx="77">
                <c:v>45.919699999999999</c:v>
              </c:pt>
              <c:pt idx="78">
                <c:v>45.217399999999998</c:v>
              </c:pt>
              <c:pt idx="79">
                <c:v>44.515099999999997</c:v>
              </c:pt>
              <c:pt idx="80">
                <c:v>43.8127</c:v>
              </c:pt>
              <c:pt idx="81">
                <c:v>43.110399999999998</c:v>
              </c:pt>
              <c:pt idx="82">
                <c:v>42.408000000000001</c:v>
              </c:pt>
              <c:pt idx="83">
                <c:v>41.7057</c:v>
              </c:pt>
              <c:pt idx="84">
                <c:v>41.003300000000003</c:v>
              </c:pt>
              <c:pt idx="85">
                <c:v>40.301000000000002</c:v>
              </c:pt>
              <c:pt idx="86">
                <c:v>39.598700000000001</c:v>
              </c:pt>
              <c:pt idx="87">
                <c:v>38.896299999999997</c:v>
              </c:pt>
              <c:pt idx="88">
                <c:v>38.194000000000003</c:v>
              </c:pt>
              <c:pt idx="89">
                <c:v>37.491599999999998</c:v>
              </c:pt>
              <c:pt idx="90">
                <c:v>36.789299999999997</c:v>
              </c:pt>
              <c:pt idx="91">
                <c:v>36.087000000000003</c:v>
              </c:pt>
              <c:pt idx="92">
                <c:v>35.384599999999999</c:v>
              </c:pt>
              <c:pt idx="93">
                <c:v>34.682299999999998</c:v>
              </c:pt>
              <c:pt idx="94">
                <c:v>33.979900000000001</c:v>
              </c:pt>
              <c:pt idx="95">
                <c:v>33.2776</c:v>
              </c:pt>
              <c:pt idx="96">
                <c:v>32.575299999999999</c:v>
              </c:pt>
              <c:pt idx="97">
                <c:v>31.872900000000001</c:v>
              </c:pt>
              <c:pt idx="98">
                <c:v>31.1706</c:v>
              </c:pt>
              <c:pt idx="99">
                <c:v>30.4682</c:v>
              </c:pt>
              <c:pt idx="100">
                <c:v>29.765899999999998</c:v>
              </c:pt>
              <c:pt idx="101">
                <c:v>29.063500000000001</c:v>
              </c:pt>
              <c:pt idx="102">
                <c:v>28.3612</c:v>
              </c:pt>
              <c:pt idx="103">
                <c:v>27.658899999999999</c:v>
              </c:pt>
              <c:pt idx="104">
                <c:v>26.956499999999998</c:v>
              </c:pt>
              <c:pt idx="105">
                <c:v>26.254200000000001</c:v>
              </c:pt>
              <c:pt idx="106">
                <c:v>25.5518</c:v>
              </c:pt>
              <c:pt idx="107">
                <c:v>24.850100000000001</c:v>
              </c:pt>
              <c:pt idx="108">
                <c:v>24.160399999999999</c:v>
              </c:pt>
              <c:pt idx="109">
                <c:v>23.480499999999999</c:v>
              </c:pt>
              <c:pt idx="110">
                <c:v>22.810300000000002</c:v>
              </c:pt>
              <c:pt idx="111">
                <c:v>22.15</c:v>
              </c:pt>
              <c:pt idx="112">
                <c:v>21.4999</c:v>
              </c:pt>
              <c:pt idx="113">
                <c:v>20.86</c:v>
              </c:pt>
              <c:pt idx="114">
                <c:v>20.230599999999999</c:v>
              </c:pt>
              <c:pt idx="115">
                <c:v>19.611699999999999</c:v>
              </c:pt>
              <c:pt idx="116">
                <c:v>19.003599999999999</c:v>
              </c:pt>
              <c:pt idx="117">
                <c:v>18.406400000000001</c:v>
              </c:pt>
              <c:pt idx="118">
                <c:v>17.8201</c:v>
              </c:pt>
              <c:pt idx="119">
                <c:v>17.245000000000001</c:v>
              </c:pt>
              <c:pt idx="120">
                <c:v>16.681100000000001</c:v>
              </c:pt>
              <c:pt idx="121">
                <c:v>16.128499999999999</c:v>
              </c:pt>
              <c:pt idx="122">
                <c:v>15.587400000000001</c:v>
              </c:pt>
              <c:pt idx="123">
                <c:v>15.057700000000001</c:v>
              </c:pt>
              <c:pt idx="124">
                <c:v>14.5396</c:v>
              </c:pt>
              <c:pt idx="125">
                <c:v>14.033099999999999</c:v>
              </c:pt>
              <c:pt idx="126">
                <c:v>13.5382</c:v>
              </c:pt>
              <c:pt idx="127">
                <c:v>13.055</c:v>
              </c:pt>
              <c:pt idx="128">
                <c:v>12.583500000000001</c:v>
              </c:pt>
              <c:pt idx="129">
                <c:v>12.1236</c:v>
              </c:pt>
              <c:pt idx="130">
                <c:v>11.6754</c:v>
              </c:pt>
              <c:pt idx="131">
                <c:v>11.238799999999999</c:v>
              </c:pt>
              <c:pt idx="132">
                <c:v>10.813800000000001</c:v>
              </c:pt>
              <c:pt idx="133">
                <c:v>10.4003</c:v>
              </c:pt>
              <c:pt idx="134">
                <c:v>9.9982000000000006</c:v>
              </c:pt>
              <c:pt idx="135">
                <c:v>9.6075999999999997</c:v>
              </c:pt>
              <c:pt idx="136">
                <c:v>9.2281999999999993</c:v>
              </c:pt>
              <c:pt idx="137">
                <c:v>8.86</c:v>
              </c:pt>
              <c:pt idx="138">
                <c:v>8.5028000000000006</c:v>
              </c:pt>
              <c:pt idx="139">
                <c:v>8.1565999999999992</c:v>
              </c:pt>
              <c:pt idx="140">
                <c:v>7.8212000000000002</c:v>
              </c:pt>
              <c:pt idx="141">
                <c:v>7.4964000000000004</c:v>
              </c:pt>
              <c:pt idx="142">
                <c:v>7.1821999999999999</c:v>
              </c:pt>
              <c:pt idx="143">
                <c:v>6.8781999999999996</c:v>
              </c:pt>
              <c:pt idx="144">
                <c:v>6.5845000000000002</c:v>
              </c:pt>
              <c:pt idx="145">
                <c:v>6.3007</c:v>
              </c:pt>
              <c:pt idx="146">
                <c:v>6.0266999999999999</c:v>
              </c:pt>
              <c:pt idx="147">
                <c:v>5.7622999999999998</c:v>
              </c:pt>
              <c:pt idx="148">
                <c:v>5.5073999999999996</c:v>
              </c:pt>
              <c:pt idx="149">
                <c:v>5.2615999999999996</c:v>
              </c:pt>
              <c:pt idx="150">
                <c:v>5.0248999999999997</c:v>
              </c:pt>
              <c:pt idx="151">
                <c:v>4.7968999999999999</c:v>
              </c:pt>
              <c:pt idx="152">
                <c:v>4.5776000000000003</c:v>
              </c:pt>
              <c:pt idx="153">
                <c:v>4.3666</c:v>
              </c:pt>
              <c:pt idx="154">
                <c:v>4.1638000000000002</c:v>
              </c:pt>
              <c:pt idx="155">
                <c:v>3.9689999999999999</c:v>
              </c:pt>
              <c:pt idx="156">
                <c:v>3.7818999999999998</c:v>
              </c:pt>
              <c:pt idx="157">
                <c:v>3.6021999999999998</c:v>
              </c:pt>
              <c:pt idx="158">
                <c:v>3.4298999999999999</c:v>
              </c:pt>
              <c:pt idx="159">
                <c:v>3.2646999999999999</c:v>
              </c:pt>
              <c:pt idx="160">
                <c:v>3.1063999999999998</c:v>
              </c:pt>
              <c:pt idx="161">
                <c:v>2.9546999999999999</c:v>
              </c:pt>
              <c:pt idx="162">
                <c:v>2.8094000000000001</c:v>
              </c:pt>
              <c:pt idx="163">
                <c:v>2.6703999999999999</c:v>
              </c:pt>
              <c:pt idx="164">
                <c:v>2.5375000000000001</c:v>
              </c:pt>
              <c:pt idx="165">
                <c:v>2.4102999999999999</c:v>
              </c:pt>
              <c:pt idx="166">
                <c:v>2.2888000000000002</c:v>
              </c:pt>
              <c:pt idx="167">
                <c:v>2.1726999999999999</c:v>
              </c:pt>
              <c:pt idx="168">
                <c:v>2.0617999999999999</c:v>
              </c:pt>
              <c:pt idx="169">
                <c:v>1.956</c:v>
              </c:pt>
              <c:pt idx="170">
                <c:v>1.855</c:v>
              </c:pt>
              <c:pt idx="171">
                <c:v>1.7586999999999999</c:v>
              </c:pt>
              <c:pt idx="172">
                <c:v>1.6669</c:v>
              </c:pt>
              <c:pt idx="173">
                <c:v>1.5793999999999999</c:v>
              </c:pt>
              <c:pt idx="174">
                <c:v>1.4961</c:v>
              </c:pt>
              <c:pt idx="175">
                <c:v>1.4168000000000001</c:v>
              </c:pt>
              <c:pt idx="176">
                <c:v>1.3412999999999999</c:v>
              </c:pt>
              <c:pt idx="177">
                <c:v>1.2694000000000001</c:v>
              </c:pt>
              <c:pt idx="178">
                <c:v>1.2011000000000001</c:v>
              </c:pt>
              <c:pt idx="179">
                <c:v>1.1361000000000001</c:v>
              </c:pt>
              <c:pt idx="180">
                <c:v>1.0744</c:v>
              </c:pt>
              <c:pt idx="181">
                <c:v>1.0157</c:v>
              </c:pt>
              <c:pt idx="182">
                <c:v>0.96</c:v>
              </c:pt>
              <c:pt idx="183">
                <c:v>0.90710000000000002</c:v>
              </c:pt>
              <c:pt idx="184">
                <c:v>0.8569</c:v>
              </c:pt>
              <c:pt idx="185">
                <c:v>0.80930000000000002</c:v>
              </c:pt>
              <c:pt idx="186">
                <c:v>0.7641</c:v>
              </c:pt>
              <c:pt idx="187">
                <c:v>0.72130000000000005</c:v>
              </c:pt>
              <c:pt idx="188">
                <c:v>0.68069999999999997</c:v>
              </c:pt>
              <c:pt idx="189">
                <c:v>0.64229999999999998</c:v>
              </c:pt>
              <c:pt idx="190">
                <c:v>0.60580000000000001</c:v>
              </c:pt>
              <c:pt idx="191">
                <c:v>0.57140000000000002</c:v>
              </c:pt>
              <c:pt idx="192">
                <c:v>0.53869999999999996</c:v>
              </c:pt>
              <c:pt idx="193">
                <c:v>0.50780000000000003</c:v>
              </c:pt>
              <c:pt idx="194">
                <c:v>0.47860000000000003</c:v>
              </c:pt>
              <c:pt idx="195">
                <c:v>0.45090000000000002</c:v>
              </c:pt>
              <c:pt idx="196">
                <c:v>0.42480000000000001</c:v>
              </c:pt>
              <c:pt idx="197">
                <c:v>0.40010000000000001</c:v>
              </c:pt>
              <c:pt idx="198">
                <c:v>0.37669999999999998</c:v>
              </c:pt>
              <c:pt idx="199">
                <c:v>0.35470000000000002</c:v>
              </c:pt>
              <c:pt idx="200">
                <c:v>0.33389999999999997</c:v>
              </c:pt>
              <c:pt idx="201">
                <c:v>0.31419999999999998</c:v>
              </c:pt>
              <c:pt idx="202">
                <c:v>0.29559999999999997</c:v>
              </c:pt>
              <c:pt idx="203">
                <c:v>0.27810000000000001</c:v>
              </c:pt>
              <c:pt idx="204">
                <c:v>0.2616</c:v>
              </c:pt>
              <c:pt idx="205">
                <c:v>0.246</c:v>
              </c:pt>
              <c:pt idx="206">
                <c:v>0.23119999999999999</c:v>
              </c:pt>
              <c:pt idx="207">
                <c:v>0.21740000000000001</c:v>
              </c:pt>
              <c:pt idx="208">
                <c:v>0.20430000000000001</c:v>
              </c:pt>
              <c:pt idx="209">
                <c:v>0.192</c:v>
              </c:pt>
              <c:pt idx="210">
                <c:v>0.1804</c:v>
              </c:pt>
              <c:pt idx="211">
                <c:v>0.1694</c:v>
              </c:pt>
              <c:pt idx="212">
                <c:v>0.15909999999999999</c:v>
              </c:pt>
              <c:pt idx="213">
                <c:v>0.14949999999999999</c:v>
              </c:pt>
              <c:pt idx="214">
                <c:v>0.14030000000000001</c:v>
              </c:pt>
              <c:pt idx="215">
                <c:v>0.13170000000000001</c:v>
              </c:pt>
              <c:pt idx="216">
                <c:v>0.1236</c:v>
              </c:pt>
              <c:pt idx="217">
                <c:v>0.11600000000000001</c:v>
              </c:pt>
              <c:pt idx="218">
                <c:v>0.1089</c:v>
              </c:pt>
              <c:pt idx="219">
                <c:v>0.1022</c:v>
              </c:pt>
              <c:pt idx="220">
                <c:v>9.5799999999999996E-2</c:v>
              </c:pt>
              <c:pt idx="221">
                <c:v>8.9899999999999994E-2</c:v>
              </c:pt>
              <c:pt idx="222">
                <c:v>8.43E-2</c:v>
              </c:pt>
              <c:pt idx="223">
                <c:v>7.9000000000000001E-2</c:v>
              </c:pt>
              <c:pt idx="224">
                <c:v>7.4099999999999999E-2</c:v>
              </c:pt>
              <c:pt idx="225">
                <c:v>6.9500000000000006E-2</c:v>
              </c:pt>
              <c:pt idx="226">
                <c:v>6.5100000000000005E-2</c:v>
              </c:pt>
              <c:pt idx="227">
                <c:v>6.0999999999999999E-2</c:v>
              </c:pt>
              <c:pt idx="228">
                <c:v>5.7200000000000001E-2</c:v>
              </c:pt>
              <c:pt idx="229">
                <c:v>5.3600000000000002E-2</c:v>
              </c:pt>
              <c:pt idx="230">
                <c:v>5.0200000000000002E-2</c:v>
              </c:pt>
              <c:pt idx="231">
                <c:v>4.7E-2</c:v>
              </c:pt>
              <c:pt idx="232">
                <c:v>4.3999999999999997E-2</c:v>
              </c:pt>
              <c:pt idx="233">
                <c:v>4.1300000000000003E-2</c:v>
              </c:pt>
              <c:pt idx="234">
                <c:v>3.8600000000000002E-2</c:v>
              </c:pt>
              <c:pt idx="235">
                <c:v>3.6200000000000003E-2</c:v>
              </c:pt>
              <c:pt idx="236">
                <c:v>3.39E-2</c:v>
              </c:pt>
              <c:pt idx="237">
                <c:v>3.1699999999999999E-2</c:v>
              </c:pt>
              <c:pt idx="238">
                <c:v>2.9700000000000001E-2</c:v>
              </c:pt>
              <c:pt idx="239">
                <c:v>2.7799999999999998E-2</c:v>
              </c:pt>
              <c:pt idx="240">
                <c:v>2.5999999999999999E-2</c:v>
              </c:pt>
              <c:pt idx="241">
                <c:v>2.4299999999999999E-2</c:v>
              </c:pt>
              <c:pt idx="242">
                <c:v>2.2800000000000001E-2</c:v>
              </c:pt>
              <c:pt idx="243">
                <c:v>2.1299999999999999E-2</c:v>
              </c:pt>
              <c:pt idx="244">
                <c:v>1.9900000000000001E-2</c:v>
              </c:pt>
              <c:pt idx="245">
                <c:v>1.8599999999999998E-2</c:v>
              </c:pt>
              <c:pt idx="246">
                <c:v>1.7399999999999999E-2</c:v>
              </c:pt>
              <c:pt idx="247">
                <c:v>1.6299999999999999E-2</c:v>
              </c:pt>
              <c:pt idx="248">
                <c:v>1.52E-2</c:v>
              </c:pt>
              <c:pt idx="249">
                <c:v>1.4200000000000001E-2</c:v>
              </c:pt>
              <c:pt idx="250">
                <c:v>1.3299999999999999E-2</c:v>
              </c:pt>
              <c:pt idx="251">
                <c:v>1.24E-2</c:v>
              </c:pt>
              <c:pt idx="252">
                <c:v>1.1599999999999999E-2</c:v>
              </c:pt>
              <c:pt idx="253">
                <c:v>1.09E-2</c:v>
              </c:pt>
              <c:pt idx="254">
                <c:v>1.0200000000000001E-2</c:v>
              </c:pt>
              <c:pt idx="255">
                <c:v>9.4999999999999998E-3</c:v>
              </c:pt>
              <c:pt idx="256">
                <c:v>8.8999999999999999E-3</c:v>
              </c:pt>
              <c:pt idx="257">
                <c:v>8.3000000000000001E-3</c:v>
              </c:pt>
              <c:pt idx="258">
                <c:v>7.7000000000000002E-3</c:v>
              </c:pt>
              <c:pt idx="259">
                <c:v>7.1999999999999998E-3</c:v>
              </c:pt>
              <c:pt idx="260">
                <c:v>6.7999999999999996E-3</c:v>
              </c:pt>
              <c:pt idx="261">
                <c:v>6.3E-3</c:v>
              </c:pt>
              <c:pt idx="262">
                <c:v>5.8999999999999999E-3</c:v>
              </c:pt>
              <c:pt idx="263">
                <c:v>5.4999999999999997E-3</c:v>
              </c:pt>
              <c:pt idx="264">
                <c:v>5.1000000000000004E-3</c:v>
              </c:pt>
              <c:pt idx="265">
                <c:v>4.7999999999999996E-3</c:v>
              </c:pt>
              <c:pt idx="266">
                <c:v>4.4999999999999997E-3</c:v>
              </c:pt>
              <c:pt idx="267">
                <c:v>4.1999999999999997E-3</c:v>
              </c:pt>
              <c:pt idx="268">
                <c:v>3.8999999999999998E-3</c:v>
              </c:pt>
              <c:pt idx="269">
                <c:v>3.5999999999999999E-3</c:v>
              </c:pt>
              <c:pt idx="270">
                <c:v>3.3999999999999998E-3</c:v>
              </c:pt>
              <c:pt idx="271">
                <c:v>3.0999999999999999E-3</c:v>
              </c:pt>
              <c:pt idx="272">
                <c:v>2.8999999999999998E-3</c:v>
              </c:pt>
              <c:pt idx="273">
                <c:v>2.7000000000000001E-3</c:v>
              </c:pt>
              <c:pt idx="274">
                <c:v>2.5000000000000001E-3</c:v>
              </c:pt>
              <c:pt idx="275">
                <c:v>2.3999999999999998E-3</c:v>
              </c:pt>
              <c:pt idx="276">
                <c:v>2.2000000000000001E-3</c:v>
              </c:pt>
              <c:pt idx="277">
                <c:v>2E-3</c:v>
              </c:pt>
              <c:pt idx="278">
                <c:v>1.9E-3</c:v>
              </c:pt>
              <c:pt idx="279">
                <c:v>1.6999999999999999E-3</c:v>
              </c:pt>
              <c:pt idx="280">
                <c:v>1.6000000000000001E-3</c:v>
              </c:pt>
              <c:pt idx="281">
                <c:v>1.5E-3</c:v>
              </c:pt>
              <c:pt idx="282">
                <c:v>1.4E-3</c:v>
              </c:pt>
              <c:pt idx="283">
                <c:v>1.2999999999999999E-3</c:v>
              </c:pt>
              <c:pt idx="284">
                <c:v>1.1999999999999999E-3</c:v>
              </c:pt>
              <c:pt idx="285">
                <c:v>1.1000000000000001E-3</c:v>
              </c:pt>
              <c:pt idx="286">
                <c:v>1E-3</c:v>
              </c:pt>
              <c:pt idx="287">
                <c:v>8.9999999999999998E-4</c:v>
              </c:pt>
              <c:pt idx="288">
                <c:v>8.0000000000000004E-4</c:v>
              </c:pt>
              <c:pt idx="289">
                <c:v>6.9999999999999999E-4</c:v>
              </c:pt>
              <c:pt idx="290">
                <c:v>5.9999999999999995E-4</c:v>
              </c:pt>
              <c:pt idx="291">
                <c:v>5.0000000000000001E-4</c:v>
              </c:pt>
              <c:pt idx="292">
                <c:v>5.0000000000000001E-4</c:v>
              </c:pt>
              <c:pt idx="293">
                <c:v>4.0000000000000002E-4</c:v>
              </c:pt>
              <c:pt idx="294">
                <c:v>2.9999999999999997E-4</c:v>
              </c:pt>
              <c:pt idx="295">
                <c:v>2.9999999999999997E-4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BE0-4D07-BD97-E856C2ECB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891568"/>
        <c:axId val="1360896848"/>
      </c:scatterChart>
      <c:valAx>
        <c:axId val="1360891568"/>
        <c:scaling>
          <c:orientation val="minMax"/>
          <c:max val="207.190635451505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underling share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6848"/>
        <c:crosses val="autoZero"/>
        <c:crossBetween val="midCat"/>
      </c:valAx>
      <c:valAx>
        <c:axId val="136089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1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Delta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95"/>
              <c:pt idx="0">
                <c:v>0.70199999999999996</c:v>
              </c:pt>
              <c:pt idx="1">
                <c:v>1.405</c:v>
              </c:pt>
              <c:pt idx="2">
                <c:v>2.1070000000000002</c:v>
              </c:pt>
              <c:pt idx="3">
                <c:v>2.8090000000000002</c:v>
              </c:pt>
              <c:pt idx="4">
                <c:v>3.512</c:v>
              </c:pt>
              <c:pt idx="5">
                <c:v>4.2140000000000004</c:v>
              </c:pt>
              <c:pt idx="6">
                <c:v>4.9160000000000004</c:v>
              </c:pt>
              <c:pt idx="7">
                <c:v>5.6189999999999998</c:v>
              </c:pt>
              <c:pt idx="8">
                <c:v>6.3209999999999997</c:v>
              </c:pt>
              <c:pt idx="9">
                <c:v>7.0229999999999997</c:v>
              </c:pt>
              <c:pt idx="10">
                <c:v>7.726</c:v>
              </c:pt>
              <c:pt idx="11">
                <c:v>8.4280000000000008</c:v>
              </c:pt>
              <c:pt idx="12">
                <c:v>9.1300000000000008</c:v>
              </c:pt>
              <c:pt idx="13">
                <c:v>9.8330000000000002</c:v>
              </c:pt>
              <c:pt idx="14">
                <c:v>10.535</c:v>
              </c:pt>
              <c:pt idx="15">
                <c:v>11.237</c:v>
              </c:pt>
              <c:pt idx="16">
                <c:v>11.94</c:v>
              </c:pt>
              <c:pt idx="17">
                <c:v>12.641999999999999</c:v>
              </c:pt>
              <c:pt idx="18">
                <c:v>13.343999999999999</c:v>
              </c:pt>
              <c:pt idx="19">
                <c:v>14.047000000000001</c:v>
              </c:pt>
              <c:pt idx="20">
                <c:v>14.749000000000001</c:v>
              </c:pt>
              <c:pt idx="21">
                <c:v>15.452</c:v>
              </c:pt>
              <c:pt idx="22">
                <c:v>16.154</c:v>
              </c:pt>
              <c:pt idx="23">
                <c:v>16.856000000000002</c:v>
              </c:pt>
              <c:pt idx="24">
                <c:v>17.559000000000001</c:v>
              </c:pt>
              <c:pt idx="25">
                <c:v>18.260999999999999</c:v>
              </c:pt>
              <c:pt idx="26">
                <c:v>18.963000000000001</c:v>
              </c:pt>
              <c:pt idx="27">
                <c:v>19.666</c:v>
              </c:pt>
              <c:pt idx="28">
                <c:v>20.367999999999999</c:v>
              </c:pt>
              <c:pt idx="29">
                <c:v>21.07</c:v>
              </c:pt>
              <c:pt idx="30">
                <c:v>21.773</c:v>
              </c:pt>
              <c:pt idx="31">
                <c:v>22.475000000000001</c:v>
              </c:pt>
              <c:pt idx="32">
                <c:v>23.177</c:v>
              </c:pt>
              <c:pt idx="33">
                <c:v>23.88</c:v>
              </c:pt>
              <c:pt idx="34">
                <c:v>24.582000000000001</c:v>
              </c:pt>
              <c:pt idx="35">
                <c:v>25.283999999999999</c:v>
              </c:pt>
              <c:pt idx="36">
                <c:v>25.986999999999998</c:v>
              </c:pt>
              <c:pt idx="37">
                <c:v>26.689</c:v>
              </c:pt>
              <c:pt idx="38">
                <c:v>27.390999999999998</c:v>
              </c:pt>
              <c:pt idx="39">
                <c:v>28.094000000000001</c:v>
              </c:pt>
              <c:pt idx="40">
                <c:v>28.795999999999999</c:v>
              </c:pt>
              <c:pt idx="41">
                <c:v>29.498000000000001</c:v>
              </c:pt>
              <c:pt idx="42">
                <c:v>30.201000000000001</c:v>
              </c:pt>
              <c:pt idx="43">
                <c:v>30.902999999999999</c:v>
              </c:pt>
              <c:pt idx="44">
                <c:v>31.605</c:v>
              </c:pt>
              <c:pt idx="45">
                <c:v>32.308</c:v>
              </c:pt>
              <c:pt idx="46">
                <c:v>33.01</c:v>
              </c:pt>
              <c:pt idx="47">
                <c:v>33.712000000000003</c:v>
              </c:pt>
              <c:pt idx="48">
                <c:v>34.414999999999999</c:v>
              </c:pt>
              <c:pt idx="49">
                <c:v>35.116999999999997</c:v>
              </c:pt>
              <c:pt idx="50">
                <c:v>35.819000000000003</c:v>
              </c:pt>
              <c:pt idx="51">
                <c:v>36.521999999999998</c:v>
              </c:pt>
              <c:pt idx="52">
                <c:v>37.223999999999997</c:v>
              </c:pt>
              <c:pt idx="53">
                <c:v>37.926000000000002</c:v>
              </c:pt>
              <c:pt idx="54">
                <c:v>38.628999999999998</c:v>
              </c:pt>
              <c:pt idx="55">
                <c:v>39.331000000000003</c:v>
              </c:pt>
              <c:pt idx="56">
                <c:v>40.033000000000001</c:v>
              </c:pt>
              <c:pt idx="57">
                <c:v>40.735999999999997</c:v>
              </c:pt>
              <c:pt idx="58">
                <c:v>41.438000000000002</c:v>
              </c:pt>
              <c:pt idx="59">
                <c:v>42.14</c:v>
              </c:pt>
              <c:pt idx="60">
                <c:v>42.843000000000004</c:v>
              </c:pt>
              <c:pt idx="61">
                <c:v>43.545000000000002</c:v>
              </c:pt>
              <c:pt idx="62">
                <c:v>44.247</c:v>
              </c:pt>
              <c:pt idx="63">
                <c:v>44.95</c:v>
              </c:pt>
              <c:pt idx="64">
                <c:v>45.652000000000001</c:v>
              </c:pt>
              <c:pt idx="65">
                <c:v>46.354999999999997</c:v>
              </c:pt>
              <c:pt idx="66">
                <c:v>47.057000000000002</c:v>
              </c:pt>
              <c:pt idx="67">
                <c:v>47.759</c:v>
              </c:pt>
              <c:pt idx="68">
                <c:v>48.462000000000003</c:v>
              </c:pt>
              <c:pt idx="69">
                <c:v>49.164000000000001</c:v>
              </c:pt>
              <c:pt idx="70">
                <c:v>49.866</c:v>
              </c:pt>
              <c:pt idx="71">
                <c:v>50.569000000000003</c:v>
              </c:pt>
              <c:pt idx="72">
                <c:v>51.271000000000001</c:v>
              </c:pt>
              <c:pt idx="73">
                <c:v>51.972999999999999</c:v>
              </c:pt>
              <c:pt idx="74">
                <c:v>52.676000000000002</c:v>
              </c:pt>
              <c:pt idx="75">
                <c:v>53.378</c:v>
              </c:pt>
              <c:pt idx="76">
                <c:v>54.08</c:v>
              </c:pt>
              <c:pt idx="77">
                <c:v>54.783000000000001</c:v>
              </c:pt>
              <c:pt idx="78">
                <c:v>55.484999999999999</c:v>
              </c:pt>
              <c:pt idx="79">
                <c:v>56.186999999999998</c:v>
              </c:pt>
              <c:pt idx="80">
                <c:v>56.89</c:v>
              </c:pt>
              <c:pt idx="81">
                <c:v>57.591999999999999</c:v>
              </c:pt>
              <c:pt idx="82">
                <c:v>58.293999999999997</c:v>
              </c:pt>
              <c:pt idx="83">
                <c:v>58.997</c:v>
              </c:pt>
              <c:pt idx="84">
                <c:v>59.698999999999998</c:v>
              </c:pt>
              <c:pt idx="85">
                <c:v>60.401000000000003</c:v>
              </c:pt>
              <c:pt idx="86">
                <c:v>61.103999999999999</c:v>
              </c:pt>
              <c:pt idx="87">
                <c:v>61.805999999999997</c:v>
              </c:pt>
              <c:pt idx="88">
                <c:v>62.508000000000003</c:v>
              </c:pt>
              <c:pt idx="89">
                <c:v>63.210999999999999</c:v>
              </c:pt>
              <c:pt idx="90">
                <c:v>63.912999999999997</c:v>
              </c:pt>
              <c:pt idx="91">
                <c:v>64.614999999999995</c:v>
              </c:pt>
              <c:pt idx="92">
                <c:v>65.317999999999998</c:v>
              </c:pt>
              <c:pt idx="93">
                <c:v>66.02</c:v>
              </c:pt>
              <c:pt idx="94">
                <c:v>66.721999999999994</c:v>
              </c:pt>
              <c:pt idx="95">
                <c:v>67.424999999999997</c:v>
              </c:pt>
              <c:pt idx="96">
                <c:v>68.126999999999995</c:v>
              </c:pt>
              <c:pt idx="97">
                <c:v>68.828999999999994</c:v>
              </c:pt>
              <c:pt idx="98">
                <c:v>69.531999999999996</c:v>
              </c:pt>
              <c:pt idx="99">
                <c:v>70.233999999999995</c:v>
              </c:pt>
              <c:pt idx="100">
                <c:v>70.936000000000007</c:v>
              </c:pt>
              <c:pt idx="101">
                <c:v>71.638999999999996</c:v>
              </c:pt>
              <c:pt idx="102">
                <c:v>72.340999999999994</c:v>
              </c:pt>
              <c:pt idx="103">
                <c:v>73.043000000000006</c:v>
              </c:pt>
              <c:pt idx="104">
                <c:v>73.745999999999995</c:v>
              </c:pt>
              <c:pt idx="105">
                <c:v>74.447999999999993</c:v>
              </c:pt>
              <c:pt idx="106">
                <c:v>75.150999999999996</c:v>
              </c:pt>
              <c:pt idx="107">
                <c:v>75.852999999999994</c:v>
              </c:pt>
              <c:pt idx="108">
                <c:v>76.555000000000007</c:v>
              </c:pt>
              <c:pt idx="109">
                <c:v>77.257999999999996</c:v>
              </c:pt>
              <c:pt idx="110">
                <c:v>77.959999999999994</c:v>
              </c:pt>
              <c:pt idx="111">
                <c:v>78.662000000000006</c:v>
              </c:pt>
              <c:pt idx="112">
                <c:v>79.364999999999995</c:v>
              </c:pt>
              <c:pt idx="113">
                <c:v>80.066999999999993</c:v>
              </c:pt>
              <c:pt idx="114">
                <c:v>80.769000000000005</c:v>
              </c:pt>
              <c:pt idx="115">
                <c:v>81.471999999999994</c:v>
              </c:pt>
              <c:pt idx="116">
                <c:v>82.174000000000007</c:v>
              </c:pt>
              <c:pt idx="117">
                <c:v>82.876000000000005</c:v>
              </c:pt>
              <c:pt idx="118">
                <c:v>83.578999999999994</c:v>
              </c:pt>
              <c:pt idx="119">
                <c:v>84.281000000000006</c:v>
              </c:pt>
              <c:pt idx="120">
                <c:v>84.983000000000004</c:v>
              </c:pt>
              <c:pt idx="121">
                <c:v>85.686000000000007</c:v>
              </c:pt>
              <c:pt idx="122">
                <c:v>86.388000000000005</c:v>
              </c:pt>
              <c:pt idx="123">
                <c:v>87.09</c:v>
              </c:pt>
              <c:pt idx="124">
                <c:v>87.793000000000006</c:v>
              </c:pt>
              <c:pt idx="125">
                <c:v>88.495000000000005</c:v>
              </c:pt>
              <c:pt idx="126">
                <c:v>89.197000000000003</c:v>
              </c:pt>
              <c:pt idx="127">
                <c:v>89.9</c:v>
              </c:pt>
              <c:pt idx="128">
                <c:v>90.602000000000004</c:v>
              </c:pt>
              <c:pt idx="129">
                <c:v>91.304000000000002</c:v>
              </c:pt>
              <c:pt idx="130">
                <c:v>92.007000000000005</c:v>
              </c:pt>
              <c:pt idx="131">
                <c:v>92.709000000000003</c:v>
              </c:pt>
              <c:pt idx="132">
                <c:v>93.411000000000001</c:v>
              </c:pt>
              <c:pt idx="133">
                <c:v>94.114000000000004</c:v>
              </c:pt>
              <c:pt idx="134">
                <c:v>94.816000000000003</c:v>
              </c:pt>
              <c:pt idx="135">
                <c:v>95.518000000000001</c:v>
              </c:pt>
              <c:pt idx="136">
                <c:v>96.221000000000004</c:v>
              </c:pt>
              <c:pt idx="137">
                <c:v>96.923000000000002</c:v>
              </c:pt>
              <c:pt idx="138">
                <c:v>97.625</c:v>
              </c:pt>
              <c:pt idx="139">
                <c:v>98.328000000000003</c:v>
              </c:pt>
              <c:pt idx="140">
                <c:v>99.03</c:v>
              </c:pt>
              <c:pt idx="141">
                <c:v>99.731999999999999</c:v>
              </c:pt>
              <c:pt idx="142">
                <c:v>100.435</c:v>
              </c:pt>
              <c:pt idx="143">
                <c:v>101.137</c:v>
              </c:pt>
              <c:pt idx="144">
                <c:v>101.839</c:v>
              </c:pt>
              <c:pt idx="145">
                <c:v>102.542</c:v>
              </c:pt>
              <c:pt idx="146">
                <c:v>103.244</c:v>
              </c:pt>
              <c:pt idx="147">
                <c:v>103.946</c:v>
              </c:pt>
              <c:pt idx="148">
                <c:v>104.649</c:v>
              </c:pt>
              <c:pt idx="149">
                <c:v>105.351</c:v>
              </c:pt>
              <c:pt idx="150">
                <c:v>106.054</c:v>
              </c:pt>
              <c:pt idx="151">
                <c:v>106.756</c:v>
              </c:pt>
              <c:pt idx="152">
                <c:v>107.458</c:v>
              </c:pt>
              <c:pt idx="153">
                <c:v>108.161</c:v>
              </c:pt>
              <c:pt idx="154">
                <c:v>108.863</c:v>
              </c:pt>
              <c:pt idx="155">
                <c:v>109.565</c:v>
              </c:pt>
              <c:pt idx="156">
                <c:v>110.268</c:v>
              </c:pt>
              <c:pt idx="157">
                <c:v>110.97</c:v>
              </c:pt>
              <c:pt idx="158">
                <c:v>111.672</c:v>
              </c:pt>
              <c:pt idx="159">
                <c:v>112.375</c:v>
              </c:pt>
              <c:pt idx="160">
                <c:v>113.077</c:v>
              </c:pt>
              <c:pt idx="161">
                <c:v>113.779</c:v>
              </c:pt>
              <c:pt idx="162">
                <c:v>114.482</c:v>
              </c:pt>
              <c:pt idx="163">
                <c:v>115.184</c:v>
              </c:pt>
              <c:pt idx="164">
                <c:v>115.886</c:v>
              </c:pt>
              <c:pt idx="165">
                <c:v>116.589</c:v>
              </c:pt>
              <c:pt idx="166">
                <c:v>117.291</c:v>
              </c:pt>
              <c:pt idx="167">
                <c:v>117.99299999999999</c:v>
              </c:pt>
              <c:pt idx="168">
                <c:v>118.696</c:v>
              </c:pt>
              <c:pt idx="169">
                <c:v>119.398</c:v>
              </c:pt>
              <c:pt idx="170">
                <c:v>120.1</c:v>
              </c:pt>
              <c:pt idx="171">
                <c:v>120.803</c:v>
              </c:pt>
              <c:pt idx="172">
                <c:v>121.505</c:v>
              </c:pt>
              <c:pt idx="173">
                <c:v>122.20699999999999</c:v>
              </c:pt>
              <c:pt idx="174">
                <c:v>122.91</c:v>
              </c:pt>
              <c:pt idx="175">
                <c:v>123.61199999999999</c:v>
              </c:pt>
              <c:pt idx="176">
                <c:v>124.31399999999999</c:v>
              </c:pt>
              <c:pt idx="177">
                <c:v>125.017</c:v>
              </c:pt>
              <c:pt idx="178">
                <c:v>125.71899999999999</c:v>
              </c:pt>
              <c:pt idx="179">
                <c:v>126.42100000000001</c:v>
              </c:pt>
              <c:pt idx="180">
                <c:v>127.124</c:v>
              </c:pt>
              <c:pt idx="181">
                <c:v>127.82599999999999</c:v>
              </c:pt>
              <c:pt idx="182">
                <c:v>128.52799999999999</c:v>
              </c:pt>
              <c:pt idx="183">
                <c:v>129.23099999999999</c:v>
              </c:pt>
              <c:pt idx="184">
                <c:v>129.93299999999999</c:v>
              </c:pt>
              <c:pt idx="185">
                <c:v>130.63499999999999</c:v>
              </c:pt>
              <c:pt idx="186">
                <c:v>131.33799999999999</c:v>
              </c:pt>
              <c:pt idx="187">
                <c:v>132.04</c:v>
              </c:pt>
              <c:pt idx="188">
                <c:v>132.74199999999999</c:v>
              </c:pt>
              <c:pt idx="189">
                <c:v>133.44499999999999</c:v>
              </c:pt>
              <c:pt idx="190">
                <c:v>134.14699999999999</c:v>
              </c:pt>
              <c:pt idx="191">
                <c:v>134.84899999999999</c:v>
              </c:pt>
              <c:pt idx="192">
                <c:v>135.55199999999999</c:v>
              </c:pt>
              <c:pt idx="193">
                <c:v>136.25399999999999</c:v>
              </c:pt>
              <c:pt idx="194">
                <c:v>136.95699999999999</c:v>
              </c:pt>
              <c:pt idx="195">
                <c:v>137.65899999999999</c:v>
              </c:pt>
              <c:pt idx="196">
                <c:v>138.36099999999999</c:v>
              </c:pt>
              <c:pt idx="197">
                <c:v>139.06399999999999</c:v>
              </c:pt>
              <c:pt idx="198">
                <c:v>139.76599999999999</c:v>
              </c:pt>
              <c:pt idx="199">
                <c:v>140.46799999999999</c:v>
              </c:pt>
              <c:pt idx="200">
                <c:v>141.17099999999999</c:v>
              </c:pt>
              <c:pt idx="201">
                <c:v>141.87299999999999</c:v>
              </c:pt>
              <c:pt idx="202">
                <c:v>142.57499999999999</c:v>
              </c:pt>
              <c:pt idx="203">
                <c:v>143.27799999999999</c:v>
              </c:pt>
              <c:pt idx="204">
                <c:v>143.97999999999999</c:v>
              </c:pt>
              <c:pt idx="205">
                <c:v>144.68199999999999</c:v>
              </c:pt>
              <c:pt idx="206">
                <c:v>145.38499999999999</c:v>
              </c:pt>
              <c:pt idx="207">
                <c:v>146.08699999999999</c:v>
              </c:pt>
              <c:pt idx="208">
                <c:v>146.78899999999999</c:v>
              </c:pt>
              <c:pt idx="209">
                <c:v>147.49199999999999</c:v>
              </c:pt>
              <c:pt idx="210">
                <c:v>148.19399999999999</c:v>
              </c:pt>
              <c:pt idx="211">
                <c:v>148.89599999999999</c:v>
              </c:pt>
              <c:pt idx="212">
                <c:v>149.59899999999999</c:v>
              </c:pt>
              <c:pt idx="213">
                <c:v>150.30099999999999</c:v>
              </c:pt>
              <c:pt idx="214">
                <c:v>151.00299999999999</c:v>
              </c:pt>
              <c:pt idx="215">
                <c:v>151.70599999999999</c:v>
              </c:pt>
              <c:pt idx="216">
                <c:v>152.40799999999999</c:v>
              </c:pt>
              <c:pt idx="217">
                <c:v>153.11000000000001</c:v>
              </c:pt>
              <c:pt idx="218">
                <c:v>153.81299999999999</c:v>
              </c:pt>
              <c:pt idx="219">
                <c:v>154.51499999999999</c:v>
              </c:pt>
              <c:pt idx="220">
                <c:v>155.21700000000001</c:v>
              </c:pt>
              <c:pt idx="221">
                <c:v>155.91999999999999</c:v>
              </c:pt>
              <c:pt idx="222">
                <c:v>156.62200000000001</c:v>
              </c:pt>
              <c:pt idx="223">
                <c:v>157.32400000000001</c:v>
              </c:pt>
              <c:pt idx="224">
                <c:v>158.02699999999999</c:v>
              </c:pt>
              <c:pt idx="225">
                <c:v>158.72900000000001</c:v>
              </c:pt>
              <c:pt idx="226">
                <c:v>159.43100000000001</c:v>
              </c:pt>
              <c:pt idx="227">
                <c:v>160.13399999999999</c:v>
              </c:pt>
              <c:pt idx="228">
                <c:v>160.83600000000001</c:v>
              </c:pt>
              <c:pt idx="229">
                <c:v>161.53800000000001</c:v>
              </c:pt>
              <c:pt idx="230">
                <c:v>162.24100000000001</c:v>
              </c:pt>
              <c:pt idx="231">
                <c:v>162.94300000000001</c:v>
              </c:pt>
              <c:pt idx="232">
                <c:v>163.64500000000001</c:v>
              </c:pt>
              <c:pt idx="233">
                <c:v>164.34800000000001</c:v>
              </c:pt>
              <c:pt idx="234">
                <c:v>165.05</c:v>
              </c:pt>
              <c:pt idx="235">
                <c:v>165.75299999999999</c:v>
              </c:pt>
              <c:pt idx="236">
                <c:v>166.45500000000001</c:v>
              </c:pt>
              <c:pt idx="237">
                <c:v>167.15700000000001</c:v>
              </c:pt>
              <c:pt idx="238">
                <c:v>167.86</c:v>
              </c:pt>
              <c:pt idx="239">
                <c:v>168.56200000000001</c:v>
              </c:pt>
              <c:pt idx="240">
                <c:v>169.26400000000001</c:v>
              </c:pt>
              <c:pt idx="241">
                <c:v>169.96700000000001</c:v>
              </c:pt>
              <c:pt idx="242">
                <c:v>170.66900000000001</c:v>
              </c:pt>
              <c:pt idx="243">
                <c:v>171.37100000000001</c:v>
              </c:pt>
              <c:pt idx="244">
                <c:v>172.07400000000001</c:v>
              </c:pt>
              <c:pt idx="245">
                <c:v>172.77600000000001</c:v>
              </c:pt>
              <c:pt idx="246">
                <c:v>173.47800000000001</c:v>
              </c:pt>
              <c:pt idx="247">
                <c:v>174.18100000000001</c:v>
              </c:pt>
              <c:pt idx="248">
                <c:v>174.88300000000001</c:v>
              </c:pt>
              <c:pt idx="249">
                <c:v>175.58500000000001</c:v>
              </c:pt>
              <c:pt idx="250">
                <c:v>176.28800000000001</c:v>
              </c:pt>
              <c:pt idx="251">
                <c:v>176.99</c:v>
              </c:pt>
              <c:pt idx="252">
                <c:v>177.69200000000001</c:v>
              </c:pt>
              <c:pt idx="253">
                <c:v>178.39500000000001</c:v>
              </c:pt>
              <c:pt idx="254">
                <c:v>179.09700000000001</c:v>
              </c:pt>
              <c:pt idx="255">
                <c:v>179.79900000000001</c:v>
              </c:pt>
              <c:pt idx="256">
                <c:v>180.50200000000001</c:v>
              </c:pt>
              <c:pt idx="257">
                <c:v>181.20400000000001</c:v>
              </c:pt>
              <c:pt idx="258">
                <c:v>181.90600000000001</c:v>
              </c:pt>
              <c:pt idx="259">
                <c:v>182.60900000000001</c:v>
              </c:pt>
              <c:pt idx="260">
                <c:v>183.31100000000001</c:v>
              </c:pt>
              <c:pt idx="261">
                <c:v>184.01300000000001</c:v>
              </c:pt>
              <c:pt idx="262">
                <c:v>184.71600000000001</c:v>
              </c:pt>
              <c:pt idx="263">
                <c:v>185.41800000000001</c:v>
              </c:pt>
              <c:pt idx="264">
                <c:v>186.12</c:v>
              </c:pt>
              <c:pt idx="265">
                <c:v>186.82300000000001</c:v>
              </c:pt>
              <c:pt idx="266">
                <c:v>187.52500000000001</c:v>
              </c:pt>
              <c:pt idx="267">
                <c:v>188.227</c:v>
              </c:pt>
              <c:pt idx="268">
                <c:v>188.93</c:v>
              </c:pt>
              <c:pt idx="269">
                <c:v>189.63200000000001</c:v>
              </c:pt>
              <c:pt idx="270">
                <c:v>190.334</c:v>
              </c:pt>
              <c:pt idx="271">
                <c:v>191.03700000000001</c:v>
              </c:pt>
              <c:pt idx="272">
                <c:v>191.739</c:v>
              </c:pt>
              <c:pt idx="273">
                <c:v>192.441</c:v>
              </c:pt>
              <c:pt idx="274">
                <c:v>193.14400000000001</c:v>
              </c:pt>
              <c:pt idx="275">
                <c:v>193.846</c:v>
              </c:pt>
              <c:pt idx="276">
                <c:v>194.548</c:v>
              </c:pt>
              <c:pt idx="277">
                <c:v>195.251</c:v>
              </c:pt>
              <c:pt idx="278">
                <c:v>195.953</c:v>
              </c:pt>
              <c:pt idx="279">
                <c:v>196.65600000000001</c:v>
              </c:pt>
              <c:pt idx="280">
                <c:v>197.358</c:v>
              </c:pt>
              <c:pt idx="281">
                <c:v>198.06</c:v>
              </c:pt>
              <c:pt idx="282">
                <c:v>198.76300000000001</c:v>
              </c:pt>
              <c:pt idx="283">
                <c:v>199.465</c:v>
              </c:pt>
              <c:pt idx="284">
                <c:v>200.167</c:v>
              </c:pt>
              <c:pt idx="285">
                <c:v>200.87</c:v>
              </c:pt>
              <c:pt idx="286">
                <c:v>201.572</c:v>
              </c:pt>
              <c:pt idx="287">
                <c:v>202.274</c:v>
              </c:pt>
              <c:pt idx="288">
                <c:v>202.977</c:v>
              </c:pt>
              <c:pt idx="289">
                <c:v>203.679</c:v>
              </c:pt>
              <c:pt idx="290">
                <c:v>204.381</c:v>
              </c:pt>
              <c:pt idx="291">
                <c:v>205.084</c:v>
              </c:pt>
              <c:pt idx="292">
                <c:v>205.786</c:v>
              </c:pt>
              <c:pt idx="293">
                <c:v>206.488</c:v>
              </c:pt>
              <c:pt idx="294">
                <c:v>207.191</c:v>
              </c:pt>
            </c:numLit>
          </c:xVal>
          <c:yVal>
            <c:numLit>
              <c:formatCode>General</c:formatCode>
              <c:ptCount val="295"/>
              <c:pt idx="0">
                <c:v>-1</c:v>
              </c:pt>
              <c:pt idx="1">
                <c:v>-1</c:v>
              </c:pt>
              <c:pt idx="2">
                <c:v>-1</c:v>
              </c:pt>
              <c:pt idx="3">
                <c:v>-1</c:v>
              </c:pt>
              <c:pt idx="4">
                <c:v>-1</c:v>
              </c:pt>
              <c:pt idx="5">
                <c:v>-1</c:v>
              </c:pt>
              <c:pt idx="6">
                <c:v>-1</c:v>
              </c:pt>
              <c:pt idx="7">
                <c:v>-1</c:v>
              </c:pt>
              <c:pt idx="8">
                <c:v>-1</c:v>
              </c:pt>
              <c:pt idx="9">
                <c:v>-1</c:v>
              </c:pt>
              <c:pt idx="10">
                <c:v>-1</c:v>
              </c:pt>
              <c:pt idx="11">
                <c:v>-1</c:v>
              </c:pt>
              <c:pt idx="12">
                <c:v>-1</c:v>
              </c:pt>
              <c:pt idx="13">
                <c:v>-1</c:v>
              </c:pt>
              <c:pt idx="14">
                <c:v>-1</c:v>
              </c:pt>
              <c:pt idx="15">
                <c:v>-1</c:v>
              </c:pt>
              <c:pt idx="16">
                <c:v>-1</c:v>
              </c:pt>
              <c:pt idx="17">
                <c:v>-1</c:v>
              </c:pt>
              <c:pt idx="18">
                <c:v>-1</c:v>
              </c:pt>
              <c:pt idx="19">
                <c:v>-1</c:v>
              </c:pt>
              <c:pt idx="20">
                <c:v>-1</c:v>
              </c:pt>
              <c:pt idx="21">
                <c:v>-1</c:v>
              </c:pt>
              <c:pt idx="22">
                <c:v>-1</c:v>
              </c:pt>
              <c:pt idx="23">
                <c:v>-1</c:v>
              </c:pt>
              <c:pt idx="24">
                <c:v>-1</c:v>
              </c:pt>
              <c:pt idx="25">
                <c:v>-1</c:v>
              </c:pt>
              <c:pt idx="26">
                <c:v>-1</c:v>
              </c:pt>
              <c:pt idx="27">
                <c:v>-1</c:v>
              </c:pt>
              <c:pt idx="28">
                <c:v>-1</c:v>
              </c:pt>
              <c:pt idx="29">
                <c:v>-1</c:v>
              </c:pt>
              <c:pt idx="30">
                <c:v>-1</c:v>
              </c:pt>
              <c:pt idx="31">
                <c:v>-1</c:v>
              </c:pt>
              <c:pt idx="32">
                <c:v>-1</c:v>
              </c:pt>
              <c:pt idx="33">
                <c:v>-1</c:v>
              </c:pt>
              <c:pt idx="34">
                <c:v>-1</c:v>
              </c:pt>
              <c:pt idx="35">
                <c:v>-1</c:v>
              </c:pt>
              <c:pt idx="36">
                <c:v>-1</c:v>
              </c:pt>
              <c:pt idx="37">
                <c:v>-1</c:v>
              </c:pt>
              <c:pt idx="38">
                <c:v>-1</c:v>
              </c:pt>
              <c:pt idx="39">
                <c:v>-1</c:v>
              </c:pt>
              <c:pt idx="40">
                <c:v>-1</c:v>
              </c:pt>
              <c:pt idx="41">
                <c:v>-1</c:v>
              </c:pt>
              <c:pt idx="42">
                <c:v>-1</c:v>
              </c:pt>
              <c:pt idx="43">
                <c:v>-1</c:v>
              </c:pt>
              <c:pt idx="44">
                <c:v>-1</c:v>
              </c:pt>
              <c:pt idx="45">
                <c:v>-1</c:v>
              </c:pt>
              <c:pt idx="46">
                <c:v>-1</c:v>
              </c:pt>
              <c:pt idx="47">
                <c:v>-1</c:v>
              </c:pt>
              <c:pt idx="48">
                <c:v>-1</c:v>
              </c:pt>
              <c:pt idx="49">
                <c:v>-1</c:v>
              </c:pt>
              <c:pt idx="50">
                <c:v>-1</c:v>
              </c:pt>
              <c:pt idx="51">
                <c:v>-1</c:v>
              </c:pt>
              <c:pt idx="52">
                <c:v>-1</c:v>
              </c:pt>
              <c:pt idx="53">
                <c:v>-1</c:v>
              </c:pt>
              <c:pt idx="54">
                <c:v>-1</c:v>
              </c:pt>
              <c:pt idx="55">
                <c:v>-1</c:v>
              </c:pt>
              <c:pt idx="56">
                <c:v>-1</c:v>
              </c:pt>
              <c:pt idx="57">
                <c:v>-1</c:v>
              </c:pt>
              <c:pt idx="58">
                <c:v>-1</c:v>
              </c:pt>
              <c:pt idx="59">
                <c:v>-1</c:v>
              </c:pt>
              <c:pt idx="60">
                <c:v>-1</c:v>
              </c:pt>
              <c:pt idx="61">
                <c:v>-1</c:v>
              </c:pt>
              <c:pt idx="62">
                <c:v>-1</c:v>
              </c:pt>
              <c:pt idx="63">
                <c:v>-1</c:v>
              </c:pt>
              <c:pt idx="64">
                <c:v>-1</c:v>
              </c:pt>
              <c:pt idx="65">
                <c:v>-1</c:v>
              </c:pt>
              <c:pt idx="66">
                <c:v>-1</c:v>
              </c:pt>
              <c:pt idx="67">
                <c:v>-1</c:v>
              </c:pt>
              <c:pt idx="68">
                <c:v>-1</c:v>
              </c:pt>
              <c:pt idx="69">
                <c:v>-1</c:v>
              </c:pt>
              <c:pt idx="70">
                <c:v>-1</c:v>
              </c:pt>
              <c:pt idx="71">
                <c:v>-1</c:v>
              </c:pt>
              <c:pt idx="72">
                <c:v>-1</c:v>
              </c:pt>
              <c:pt idx="73">
                <c:v>-1</c:v>
              </c:pt>
              <c:pt idx="74">
                <c:v>-1</c:v>
              </c:pt>
              <c:pt idx="75">
                <c:v>-1</c:v>
              </c:pt>
              <c:pt idx="76">
                <c:v>-1</c:v>
              </c:pt>
              <c:pt idx="77">
                <c:v>-1</c:v>
              </c:pt>
              <c:pt idx="78">
                <c:v>-1</c:v>
              </c:pt>
              <c:pt idx="79">
                <c:v>-1</c:v>
              </c:pt>
              <c:pt idx="80">
                <c:v>-1</c:v>
              </c:pt>
              <c:pt idx="81">
                <c:v>-1</c:v>
              </c:pt>
              <c:pt idx="82">
                <c:v>-1</c:v>
              </c:pt>
              <c:pt idx="83">
                <c:v>-1</c:v>
              </c:pt>
              <c:pt idx="84">
                <c:v>-1</c:v>
              </c:pt>
              <c:pt idx="85">
                <c:v>-1</c:v>
              </c:pt>
              <c:pt idx="86">
                <c:v>-1</c:v>
              </c:pt>
              <c:pt idx="87">
                <c:v>-1</c:v>
              </c:pt>
              <c:pt idx="88">
                <c:v>-1</c:v>
              </c:pt>
              <c:pt idx="89">
                <c:v>-1</c:v>
              </c:pt>
              <c:pt idx="90">
                <c:v>-1</c:v>
              </c:pt>
              <c:pt idx="91">
                <c:v>-1</c:v>
              </c:pt>
              <c:pt idx="92">
                <c:v>-1</c:v>
              </c:pt>
              <c:pt idx="93">
                <c:v>-1</c:v>
              </c:pt>
              <c:pt idx="94">
                <c:v>-1</c:v>
              </c:pt>
              <c:pt idx="95">
                <c:v>-1</c:v>
              </c:pt>
              <c:pt idx="96">
                <c:v>-1</c:v>
              </c:pt>
              <c:pt idx="97">
                <c:v>-1</c:v>
              </c:pt>
              <c:pt idx="98">
                <c:v>-1</c:v>
              </c:pt>
              <c:pt idx="99">
                <c:v>-1</c:v>
              </c:pt>
              <c:pt idx="100">
                <c:v>-1</c:v>
              </c:pt>
              <c:pt idx="101">
                <c:v>-1</c:v>
              </c:pt>
              <c:pt idx="102">
                <c:v>-1</c:v>
              </c:pt>
              <c:pt idx="103">
                <c:v>-1</c:v>
              </c:pt>
              <c:pt idx="104">
                <c:v>-1</c:v>
              </c:pt>
              <c:pt idx="105">
                <c:v>-1</c:v>
              </c:pt>
              <c:pt idx="106">
                <c:v>-0.99099999999999999</c:v>
              </c:pt>
              <c:pt idx="107">
                <c:v>-0.97499999999999998</c:v>
              </c:pt>
              <c:pt idx="108">
                <c:v>-0.96099999999999997</c:v>
              </c:pt>
              <c:pt idx="109">
                <c:v>-0.94699999999999995</c:v>
              </c:pt>
              <c:pt idx="110">
                <c:v>-0.93300000000000005</c:v>
              </c:pt>
              <c:pt idx="111">
                <c:v>-0.91800000000000004</c:v>
              </c:pt>
              <c:pt idx="112">
                <c:v>-0.90400000000000003</c:v>
              </c:pt>
              <c:pt idx="113">
                <c:v>-0.88900000000000001</c:v>
              </c:pt>
              <c:pt idx="114">
                <c:v>-0.873</c:v>
              </c:pt>
              <c:pt idx="115">
                <c:v>-0.85799999999999998</c:v>
              </c:pt>
              <c:pt idx="116">
                <c:v>-0.84299999999999997</c:v>
              </c:pt>
              <c:pt idx="117">
                <c:v>-0.82699999999999996</c:v>
              </c:pt>
              <c:pt idx="118">
                <c:v>-0.81100000000000005</c:v>
              </c:pt>
              <c:pt idx="119">
                <c:v>-0.79500000000000004</c:v>
              </c:pt>
              <c:pt idx="120">
                <c:v>-0.77900000000000003</c:v>
              </c:pt>
              <c:pt idx="121">
                <c:v>-0.76200000000000001</c:v>
              </c:pt>
              <c:pt idx="122">
                <c:v>-0.746</c:v>
              </c:pt>
              <c:pt idx="123">
                <c:v>-0.72899999999999998</c:v>
              </c:pt>
              <c:pt idx="124">
                <c:v>-0.71299999999999997</c:v>
              </c:pt>
              <c:pt idx="125">
                <c:v>-0.69599999999999995</c:v>
              </c:pt>
              <c:pt idx="126">
                <c:v>-0.68</c:v>
              </c:pt>
              <c:pt idx="127">
                <c:v>-0.66300000000000003</c:v>
              </c:pt>
              <c:pt idx="128">
                <c:v>-0.64600000000000002</c:v>
              </c:pt>
              <c:pt idx="129">
                <c:v>-0.63</c:v>
              </c:pt>
              <c:pt idx="130">
                <c:v>-0.61299999999999999</c:v>
              </c:pt>
              <c:pt idx="131">
                <c:v>-0.59699999999999998</c:v>
              </c:pt>
              <c:pt idx="132">
                <c:v>-0.58099999999999996</c:v>
              </c:pt>
              <c:pt idx="133">
                <c:v>-0.56399999999999995</c:v>
              </c:pt>
              <c:pt idx="134">
                <c:v>-0.54800000000000004</c:v>
              </c:pt>
              <c:pt idx="135">
                <c:v>-0.53200000000000003</c:v>
              </c:pt>
              <c:pt idx="136">
                <c:v>-0.51600000000000001</c:v>
              </c:pt>
              <c:pt idx="137">
                <c:v>-0.501</c:v>
              </c:pt>
              <c:pt idx="138">
                <c:v>-0.48499999999999999</c:v>
              </c:pt>
              <c:pt idx="139">
                <c:v>-0.47</c:v>
              </c:pt>
              <c:pt idx="140">
                <c:v>-0.45500000000000002</c:v>
              </c:pt>
              <c:pt idx="141">
                <c:v>-0.44</c:v>
              </c:pt>
              <c:pt idx="142">
                <c:v>-0.42599999999999999</c:v>
              </c:pt>
              <c:pt idx="143">
                <c:v>-0.41099999999999998</c:v>
              </c:pt>
              <c:pt idx="144">
                <c:v>-0.39700000000000002</c:v>
              </c:pt>
              <c:pt idx="145">
                <c:v>-0.38300000000000001</c:v>
              </c:pt>
              <c:pt idx="146">
                <c:v>-0.37</c:v>
              </c:pt>
              <c:pt idx="147">
                <c:v>-0.35599999999999998</c:v>
              </c:pt>
              <c:pt idx="148">
                <c:v>-0.34300000000000003</c:v>
              </c:pt>
              <c:pt idx="149">
                <c:v>-0.33100000000000002</c:v>
              </c:pt>
              <c:pt idx="150">
                <c:v>-0.318</c:v>
              </c:pt>
              <c:pt idx="151">
                <c:v>-0.30599999999999999</c:v>
              </c:pt>
              <c:pt idx="152">
                <c:v>-0.29499999999999998</c:v>
              </c:pt>
              <c:pt idx="153">
                <c:v>-0.28299999999999997</c:v>
              </c:pt>
              <c:pt idx="154">
                <c:v>-0.27200000000000002</c:v>
              </c:pt>
              <c:pt idx="155">
                <c:v>-0.26100000000000001</c:v>
              </c:pt>
              <c:pt idx="156">
                <c:v>-0.251</c:v>
              </c:pt>
              <c:pt idx="157">
                <c:v>-0.24</c:v>
              </c:pt>
              <c:pt idx="158">
                <c:v>-0.23</c:v>
              </c:pt>
              <c:pt idx="159">
                <c:v>-0.221</c:v>
              </c:pt>
              <c:pt idx="160">
                <c:v>-0.21099999999999999</c:v>
              </c:pt>
              <c:pt idx="161">
                <c:v>-0.20200000000000001</c:v>
              </c:pt>
              <c:pt idx="162">
                <c:v>-0.19400000000000001</c:v>
              </c:pt>
              <c:pt idx="163">
                <c:v>-0.185</c:v>
              </c:pt>
              <c:pt idx="164">
                <c:v>-0.17699999999999999</c:v>
              </c:pt>
              <c:pt idx="165">
                <c:v>-0.16900000000000001</c:v>
              </c:pt>
              <c:pt idx="166">
                <c:v>-0.16200000000000001</c:v>
              </c:pt>
              <c:pt idx="167">
                <c:v>-0.154</c:v>
              </c:pt>
              <c:pt idx="168">
                <c:v>-0.14699999999999999</c:v>
              </c:pt>
              <c:pt idx="169">
                <c:v>-0.14000000000000001</c:v>
              </c:pt>
              <c:pt idx="170">
                <c:v>-0.13400000000000001</c:v>
              </c:pt>
              <c:pt idx="171">
                <c:v>-0.128</c:v>
              </c:pt>
              <c:pt idx="172">
                <c:v>-0.122</c:v>
              </c:pt>
              <c:pt idx="173">
                <c:v>-0.11600000000000001</c:v>
              </c:pt>
              <c:pt idx="174">
                <c:v>-0.11</c:v>
              </c:pt>
              <c:pt idx="175">
                <c:v>-0.105</c:v>
              </c:pt>
              <c:pt idx="176">
                <c:v>-0.1</c:v>
              </c:pt>
              <c:pt idx="177">
                <c:v>-9.5000000000000001E-2</c:v>
              </c:pt>
              <c:pt idx="178">
                <c:v>-0.09</c:v>
              </c:pt>
              <c:pt idx="179">
                <c:v>-8.5999999999999993E-2</c:v>
              </c:pt>
              <c:pt idx="180">
                <c:v>-8.1000000000000003E-2</c:v>
              </c:pt>
              <c:pt idx="181">
                <c:v>-7.6999999999999999E-2</c:v>
              </c:pt>
              <c:pt idx="182">
                <c:v>-7.2999999999999995E-2</c:v>
              </c:pt>
              <c:pt idx="183">
                <c:v>-7.0000000000000007E-2</c:v>
              </c:pt>
              <c:pt idx="184">
                <c:v>-6.6000000000000003E-2</c:v>
              </c:pt>
              <c:pt idx="185">
                <c:v>-6.3E-2</c:v>
              </c:pt>
              <c:pt idx="186">
                <c:v>-5.8999999999999997E-2</c:v>
              </c:pt>
              <c:pt idx="187">
                <c:v>-5.6000000000000001E-2</c:v>
              </c:pt>
              <c:pt idx="188">
                <c:v>-5.2999999999999999E-2</c:v>
              </c:pt>
              <c:pt idx="189">
                <c:v>-0.05</c:v>
              </c:pt>
              <c:pt idx="190">
                <c:v>-4.8000000000000001E-2</c:v>
              </c:pt>
              <c:pt idx="191">
                <c:v>-4.4999999999999998E-2</c:v>
              </c:pt>
              <c:pt idx="192">
                <c:v>-4.2999999999999997E-2</c:v>
              </c:pt>
              <c:pt idx="193">
                <c:v>-0.04</c:v>
              </c:pt>
              <c:pt idx="194">
                <c:v>-3.7999999999999999E-2</c:v>
              </c:pt>
              <c:pt idx="195">
                <c:v>-3.5999999999999997E-2</c:v>
              </c:pt>
              <c:pt idx="196">
                <c:v>-3.4000000000000002E-2</c:v>
              </c:pt>
              <c:pt idx="197">
                <c:v>-3.2000000000000001E-2</c:v>
              </c:pt>
              <c:pt idx="198">
                <c:v>-3.1E-2</c:v>
              </c:pt>
              <c:pt idx="199">
                <c:v>-2.9000000000000001E-2</c:v>
              </c:pt>
              <c:pt idx="200">
                <c:v>-2.7E-2</c:v>
              </c:pt>
              <c:pt idx="201">
                <c:v>-2.5999999999999999E-2</c:v>
              </c:pt>
              <c:pt idx="202">
                <c:v>-2.4E-2</c:v>
              </c:pt>
              <c:pt idx="203">
                <c:v>-2.3E-2</c:v>
              </c:pt>
              <c:pt idx="204">
                <c:v>-2.1999999999999999E-2</c:v>
              </c:pt>
              <c:pt idx="205">
                <c:v>-0.02</c:v>
              </c:pt>
              <c:pt idx="206">
                <c:v>-1.9E-2</c:v>
              </c:pt>
              <c:pt idx="207">
                <c:v>-1.7999999999999999E-2</c:v>
              </c:pt>
              <c:pt idx="208">
                <c:v>-1.7000000000000001E-2</c:v>
              </c:pt>
              <c:pt idx="209">
                <c:v>-1.6E-2</c:v>
              </c:pt>
              <c:pt idx="210">
                <c:v>-1.4999999999999999E-2</c:v>
              </c:pt>
              <c:pt idx="211">
                <c:v>-1.4E-2</c:v>
              </c:pt>
              <c:pt idx="212">
                <c:v>-1.2999999999999999E-2</c:v>
              </c:pt>
              <c:pt idx="213">
                <c:v>-1.2999999999999999E-2</c:v>
              </c:pt>
              <c:pt idx="214">
                <c:v>-1.2E-2</c:v>
              </c:pt>
              <c:pt idx="215">
                <c:v>-1.0999999999999999E-2</c:v>
              </c:pt>
              <c:pt idx="216">
                <c:v>-1.0999999999999999E-2</c:v>
              </c:pt>
              <c:pt idx="217">
                <c:v>-0.01</c:v>
              </c:pt>
              <c:pt idx="218">
                <c:v>-8.9999999999999993E-3</c:v>
              </c:pt>
              <c:pt idx="219">
                <c:v>-8.9999999999999993E-3</c:v>
              </c:pt>
              <c:pt idx="220">
                <c:v>-8.0000000000000002E-3</c:v>
              </c:pt>
              <c:pt idx="221">
                <c:v>-8.0000000000000002E-3</c:v>
              </c:pt>
              <c:pt idx="222">
                <c:v>-7.0000000000000001E-3</c:v>
              </c:pt>
              <c:pt idx="223">
                <c:v>-7.0000000000000001E-3</c:v>
              </c:pt>
              <c:pt idx="224">
                <c:v>-6.0000000000000001E-3</c:v>
              </c:pt>
              <c:pt idx="225">
                <c:v>-6.0000000000000001E-3</c:v>
              </c:pt>
              <c:pt idx="226">
                <c:v>-6.0000000000000001E-3</c:v>
              </c:pt>
              <c:pt idx="227">
                <c:v>-5.0000000000000001E-3</c:v>
              </c:pt>
              <c:pt idx="228">
                <c:v>-5.0000000000000001E-3</c:v>
              </c:pt>
              <c:pt idx="229">
                <c:v>-5.0000000000000001E-3</c:v>
              </c:pt>
              <c:pt idx="230">
                <c:v>-4.0000000000000001E-3</c:v>
              </c:pt>
              <c:pt idx="231">
                <c:v>-4.0000000000000001E-3</c:v>
              </c:pt>
              <c:pt idx="232">
                <c:v>-4.0000000000000001E-3</c:v>
              </c:pt>
              <c:pt idx="233">
                <c:v>-4.0000000000000001E-3</c:v>
              </c:pt>
              <c:pt idx="234">
                <c:v>-3.0000000000000001E-3</c:v>
              </c:pt>
              <c:pt idx="235">
                <c:v>-3.0000000000000001E-3</c:v>
              </c:pt>
              <c:pt idx="236">
                <c:v>-3.0000000000000001E-3</c:v>
              </c:pt>
              <c:pt idx="237">
                <c:v>-3.0000000000000001E-3</c:v>
              </c:pt>
              <c:pt idx="238">
                <c:v>-3.0000000000000001E-3</c:v>
              </c:pt>
              <c:pt idx="239">
                <c:v>-2E-3</c:v>
              </c:pt>
              <c:pt idx="240">
                <c:v>-2E-3</c:v>
              </c:pt>
              <c:pt idx="241">
                <c:v>-2E-3</c:v>
              </c:pt>
              <c:pt idx="242">
                <c:v>-2E-3</c:v>
              </c:pt>
              <c:pt idx="243">
                <c:v>-2E-3</c:v>
              </c:pt>
              <c:pt idx="244">
                <c:v>-2E-3</c:v>
              </c:pt>
              <c:pt idx="245">
                <c:v>-2E-3</c:v>
              </c:pt>
              <c:pt idx="246">
                <c:v>-2E-3</c:v>
              </c:pt>
              <c:pt idx="247">
                <c:v>-1E-3</c:v>
              </c:pt>
              <c:pt idx="248">
                <c:v>-1E-3</c:v>
              </c:pt>
              <c:pt idx="249">
                <c:v>-1E-3</c:v>
              </c:pt>
              <c:pt idx="250">
                <c:v>-1E-3</c:v>
              </c:pt>
              <c:pt idx="251">
                <c:v>-1E-3</c:v>
              </c:pt>
              <c:pt idx="252">
                <c:v>-1E-3</c:v>
              </c:pt>
              <c:pt idx="253">
                <c:v>-1E-3</c:v>
              </c:pt>
              <c:pt idx="254">
                <c:v>-1E-3</c:v>
              </c:pt>
              <c:pt idx="255">
                <c:v>-1E-3</c:v>
              </c:pt>
              <c:pt idx="256">
                <c:v>-1E-3</c:v>
              </c:pt>
              <c:pt idx="257">
                <c:v>-1E-3</c:v>
              </c:pt>
              <c:pt idx="258">
                <c:v>-1E-3</c:v>
              </c:pt>
              <c:pt idx="259">
                <c:v>-1E-3</c:v>
              </c:pt>
              <c:pt idx="260">
                <c:v>-1E-3</c:v>
              </c:pt>
              <c:pt idx="261">
                <c:v>-1E-3</c:v>
              </c:pt>
              <c:pt idx="262">
                <c:v>-1E-3</c:v>
              </c:pt>
              <c:pt idx="263">
                <c:v>-1E-3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58-4A70-B4E3-D37466BF5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898768"/>
        <c:axId val="1360899248"/>
      </c:scatterChart>
      <c:valAx>
        <c:axId val="1360898768"/>
        <c:scaling>
          <c:orientation val="minMax"/>
          <c:max val="207.190635451505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underling share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9248"/>
        <c:crosses val="autoZero"/>
        <c:crossBetween val="midCat"/>
      </c:valAx>
      <c:valAx>
        <c:axId val="136089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Exercice boundary for</a:t>
            </a:r>
            <a:r>
              <a:rPr lang="en-US" sz="1400" baseline="0"/>
              <a:t> american option</a:t>
            </a:r>
            <a:endParaRPr lang="en-U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Exercice boundary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97"/>
              <c:pt idx="0">
                <c:v>44927</c:v>
              </c:pt>
              <c:pt idx="1">
                <c:v>44928.216666666704</c:v>
              </c:pt>
              <c:pt idx="2">
                <c:v>44929.433333333298</c:v>
              </c:pt>
              <c:pt idx="3">
                <c:v>44930.65</c:v>
              </c:pt>
              <c:pt idx="4">
                <c:v>44931.866666666698</c:v>
              </c:pt>
              <c:pt idx="5">
                <c:v>44933.083333333299</c:v>
              </c:pt>
              <c:pt idx="6">
                <c:v>44934.3</c:v>
              </c:pt>
              <c:pt idx="7">
                <c:v>44935.516666666699</c:v>
              </c:pt>
              <c:pt idx="8">
                <c:v>44936.733333333301</c:v>
              </c:pt>
              <c:pt idx="9">
                <c:v>44937.95</c:v>
              </c:pt>
              <c:pt idx="10">
                <c:v>44939.166666666701</c:v>
              </c:pt>
              <c:pt idx="11">
                <c:v>44940.383333333302</c:v>
              </c:pt>
              <c:pt idx="12">
                <c:v>44941.599999999999</c:v>
              </c:pt>
              <c:pt idx="13">
                <c:v>44942.816666666702</c:v>
              </c:pt>
              <c:pt idx="14">
                <c:v>44944.033333333296</c:v>
              </c:pt>
              <c:pt idx="15">
                <c:v>44945.25</c:v>
              </c:pt>
              <c:pt idx="16">
                <c:v>44946.466666666704</c:v>
              </c:pt>
              <c:pt idx="17">
                <c:v>44947.683333333298</c:v>
              </c:pt>
              <c:pt idx="18">
                <c:v>44948.9</c:v>
              </c:pt>
              <c:pt idx="19">
                <c:v>44950.116666666698</c:v>
              </c:pt>
              <c:pt idx="20">
                <c:v>44951.333333333299</c:v>
              </c:pt>
              <c:pt idx="21">
                <c:v>44952.55</c:v>
              </c:pt>
              <c:pt idx="22">
                <c:v>44953.766666666699</c:v>
              </c:pt>
              <c:pt idx="23">
                <c:v>44954.983333333301</c:v>
              </c:pt>
              <c:pt idx="24">
                <c:v>44956.2</c:v>
              </c:pt>
              <c:pt idx="25">
                <c:v>44957.416666666701</c:v>
              </c:pt>
              <c:pt idx="26">
                <c:v>44958.633333333302</c:v>
              </c:pt>
              <c:pt idx="27">
                <c:v>44959.85</c:v>
              </c:pt>
              <c:pt idx="28">
                <c:v>44961.066666666702</c:v>
              </c:pt>
              <c:pt idx="29">
                <c:v>44962.283333333296</c:v>
              </c:pt>
              <c:pt idx="30">
                <c:v>44963.5</c:v>
              </c:pt>
              <c:pt idx="31">
                <c:v>44964.716666666704</c:v>
              </c:pt>
              <c:pt idx="32">
                <c:v>44965.933333333298</c:v>
              </c:pt>
              <c:pt idx="33">
                <c:v>44967.15</c:v>
              </c:pt>
              <c:pt idx="34">
                <c:v>44968.366666666698</c:v>
              </c:pt>
              <c:pt idx="35">
                <c:v>44969.583333333299</c:v>
              </c:pt>
              <c:pt idx="36">
                <c:v>44970.8</c:v>
              </c:pt>
              <c:pt idx="37">
                <c:v>44972.016666666699</c:v>
              </c:pt>
              <c:pt idx="38">
                <c:v>44973.233333333301</c:v>
              </c:pt>
              <c:pt idx="39">
                <c:v>44974.45</c:v>
              </c:pt>
              <c:pt idx="40">
                <c:v>44975.666666666701</c:v>
              </c:pt>
              <c:pt idx="41">
                <c:v>44976.883333333302</c:v>
              </c:pt>
              <c:pt idx="42">
                <c:v>44978.1</c:v>
              </c:pt>
              <c:pt idx="43">
                <c:v>44979.316666666702</c:v>
              </c:pt>
              <c:pt idx="44">
                <c:v>44980.533333333296</c:v>
              </c:pt>
              <c:pt idx="45">
                <c:v>44981.75</c:v>
              </c:pt>
              <c:pt idx="46">
                <c:v>44982.966666666704</c:v>
              </c:pt>
              <c:pt idx="47">
                <c:v>44984.183333333298</c:v>
              </c:pt>
              <c:pt idx="48">
                <c:v>44985.4</c:v>
              </c:pt>
              <c:pt idx="49">
                <c:v>44986.616666666698</c:v>
              </c:pt>
              <c:pt idx="50">
                <c:v>44987.833333333299</c:v>
              </c:pt>
              <c:pt idx="51">
                <c:v>44989.05</c:v>
              </c:pt>
              <c:pt idx="52">
                <c:v>44990.266666666699</c:v>
              </c:pt>
              <c:pt idx="53">
                <c:v>44991.483333333301</c:v>
              </c:pt>
              <c:pt idx="54">
                <c:v>44992.7</c:v>
              </c:pt>
              <c:pt idx="55">
                <c:v>44993.916666666701</c:v>
              </c:pt>
              <c:pt idx="56">
                <c:v>44995.133333333302</c:v>
              </c:pt>
              <c:pt idx="57">
                <c:v>44996.35</c:v>
              </c:pt>
              <c:pt idx="58">
                <c:v>44997.566666666702</c:v>
              </c:pt>
              <c:pt idx="59">
                <c:v>44998.783333333296</c:v>
              </c:pt>
              <c:pt idx="60">
                <c:v>45000</c:v>
              </c:pt>
              <c:pt idx="61">
                <c:v>45001.216666666704</c:v>
              </c:pt>
              <c:pt idx="62">
                <c:v>45002.433333333298</c:v>
              </c:pt>
              <c:pt idx="63">
                <c:v>45003.65</c:v>
              </c:pt>
              <c:pt idx="64">
                <c:v>45004.866666666698</c:v>
              </c:pt>
              <c:pt idx="65">
                <c:v>45006.083333333299</c:v>
              </c:pt>
              <c:pt idx="66">
                <c:v>45007.3</c:v>
              </c:pt>
              <c:pt idx="67">
                <c:v>45008.516666666699</c:v>
              </c:pt>
              <c:pt idx="68">
                <c:v>45009.733333333301</c:v>
              </c:pt>
              <c:pt idx="69">
                <c:v>45010.95</c:v>
              </c:pt>
              <c:pt idx="70">
                <c:v>45012.166666666701</c:v>
              </c:pt>
              <c:pt idx="71">
                <c:v>45013.383333333302</c:v>
              </c:pt>
              <c:pt idx="72">
                <c:v>45014.6</c:v>
              </c:pt>
              <c:pt idx="73">
                <c:v>45015.816666666702</c:v>
              </c:pt>
              <c:pt idx="74">
                <c:v>45017.033333333296</c:v>
              </c:pt>
              <c:pt idx="75">
                <c:v>45018.25</c:v>
              </c:pt>
              <c:pt idx="76">
                <c:v>45019.466666666704</c:v>
              </c:pt>
              <c:pt idx="77">
                <c:v>45020.683333333298</c:v>
              </c:pt>
              <c:pt idx="78">
                <c:v>45021.9</c:v>
              </c:pt>
              <c:pt idx="79">
                <c:v>45023.116666666698</c:v>
              </c:pt>
              <c:pt idx="80">
                <c:v>45024.333333333299</c:v>
              </c:pt>
              <c:pt idx="81">
                <c:v>45025.55</c:v>
              </c:pt>
              <c:pt idx="82">
                <c:v>45026.766666666699</c:v>
              </c:pt>
              <c:pt idx="83">
                <c:v>45027.983333333301</c:v>
              </c:pt>
              <c:pt idx="84">
                <c:v>45029.2</c:v>
              </c:pt>
              <c:pt idx="85">
                <c:v>45030.416666666701</c:v>
              </c:pt>
              <c:pt idx="86">
                <c:v>45031.633333333302</c:v>
              </c:pt>
              <c:pt idx="87">
                <c:v>45032.85</c:v>
              </c:pt>
              <c:pt idx="88">
                <c:v>45034.066666666702</c:v>
              </c:pt>
              <c:pt idx="89">
                <c:v>45035.283333333296</c:v>
              </c:pt>
              <c:pt idx="90">
                <c:v>45036.5</c:v>
              </c:pt>
              <c:pt idx="91">
                <c:v>45037.716666666704</c:v>
              </c:pt>
              <c:pt idx="92">
                <c:v>45038.933333333298</c:v>
              </c:pt>
              <c:pt idx="93">
                <c:v>45040.15</c:v>
              </c:pt>
              <c:pt idx="94">
                <c:v>45041.366666666698</c:v>
              </c:pt>
              <c:pt idx="95">
                <c:v>45042.583333333299</c:v>
              </c:pt>
              <c:pt idx="96">
                <c:v>45043.8</c:v>
              </c:pt>
              <c:pt idx="97">
                <c:v>45045.016666666699</c:v>
              </c:pt>
              <c:pt idx="98">
                <c:v>45046.233333333301</c:v>
              </c:pt>
              <c:pt idx="99">
                <c:v>45047.45</c:v>
              </c:pt>
              <c:pt idx="100">
                <c:v>45048.666666666701</c:v>
              </c:pt>
              <c:pt idx="101">
                <c:v>45049.883333333302</c:v>
              </c:pt>
              <c:pt idx="102">
                <c:v>45051.1</c:v>
              </c:pt>
              <c:pt idx="103">
                <c:v>45052.316666666702</c:v>
              </c:pt>
              <c:pt idx="104">
                <c:v>45053.533333333296</c:v>
              </c:pt>
              <c:pt idx="105">
                <c:v>45054.75</c:v>
              </c:pt>
              <c:pt idx="106">
                <c:v>45055.966666666704</c:v>
              </c:pt>
              <c:pt idx="107">
                <c:v>45057.183333333298</c:v>
              </c:pt>
              <c:pt idx="108">
                <c:v>45058.400000000001</c:v>
              </c:pt>
              <c:pt idx="109">
                <c:v>45059.616666666698</c:v>
              </c:pt>
              <c:pt idx="110">
                <c:v>45060.833333333299</c:v>
              </c:pt>
              <c:pt idx="111">
                <c:v>45062.05</c:v>
              </c:pt>
              <c:pt idx="112">
                <c:v>45063.266666666699</c:v>
              </c:pt>
              <c:pt idx="113">
                <c:v>45064.483333333301</c:v>
              </c:pt>
              <c:pt idx="114">
                <c:v>45065.7</c:v>
              </c:pt>
              <c:pt idx="115">
                <c:v>45066.916666666701</c:v>
              </c:pt>
              <c:pt idx="116">
                <c:v>45068.133333333302</c:v>
              </c:pt>
              <c:pt idx="117">
                <c:v>45069.35</c:v>
              </c:pt>
              <c:pt idx="118">
                <c:v>45070.566666666702</c:v>
              </c:pt>
              <c:pt idx="119">
                <c:v>45071.783333333296</c:v>
              </c:pt>
              <c:pt idx="120">
                <c:v>45073</c:v>
              </c:pt>
              <c:pt idx="121">
                <c:v>45074.216666666704</c:v>
              </c:pt>
              <c:pt idx="122">
                <c:v>45075.433333333298</c:v>
              </c:pt>
              <c:pt idx="123">
                <c:v>45076.65</c:v>
              </c:pt>
              <c:pt idx="124">
                <c:v>45077.866666666698</c:v>
              </c:pt>
              <c:pt idx="125">
                <c:v>45079.083333333299</c:v>
              </c:pt>
              <c:pt idx="126">
                <c:v>45080.3</c:v>
              </c:pt>
              <c:pt idx="127">
                <c:v>45081.516666666699</c:v>
              </c:pt>
              <c:pt idx="128">
                <c:v>45082.733333333301</c:v>
              </c:pt>
              <c:pt idx="129">
                <c:v>45083.95</c:v>
              </c:pt>
              <c:pt idx="130">
                <c:v>45085.166666666701</c:v>
              </c:pt>
              <c:pt idx="131">
                <c:v>45086.383333333302</c:v>
              </c:pt>
              <c:pt idx="132">
                <c:v>45087.6</c:v>
              </c:pt>
              <c:pt idx="133">
                <c:v>45088.816666666702</c:v>
              </c:pt>
              <c:pt idx="134">
                <c:v>45090.033333333296</c:v>
              </c:pt>
              <c:pt idx="135">
                <c:v>45091.25</c:v>
              </c:pt>
              <c:pt idx="136">
                <c:v>45092.466666666704</c:v>
              </c:pt>
              <c:pt idx="137">
                <c:v>45093.683333333298</c:v>
              </c:pt>
              <c:pt idx="138">
                <c:v>45094.9</c:v>
              </c:pt>
              <c:pt idx="139">
                <c:v>45096.116666666698</c:v>
              </c:pt>
              <c:pt idx="140">
                <c:v>45097.333333333299</c:v>
              </c:pt>
              <c:pt idx="141">
                <c:v>45098.55</c:v>
              </c:pt>
              <c:pt idx="142">
                <c:v>45099.766666666699</c:v>
              </c:pt>
              <c:pt idx="143">
                <c:v>45100.983333333301</c:v>
              </c:pt>
              <c:pt idx="144">
                <c:v>45102.2</c:v>
              </c:pt>
              <c:pt idx="145">
                <c:v>45103.416666666701</c:v>
              </c:pt>
              <c:pt idx="146">
                <c:v>45104.633333333302</c:v>
              </c:pt>
              <c:pt idx="147">
                <c:v>45105.85</c:v>
              </c:pt>
              <c:pt idx="148">
                <c:v>45107.066666666702</c:v>
              </c:pt>
              <c:pt idx="149">
                <c:v>45108.283333333296</c:v>
              </c:pt>
              <c:pt idx="150">
                <c:v>45109.5</c:v>
              </c:pt>
              <c:pt idx="151">
                <c:v>45110.716666666704</c:v>
              </c:pt>
              <c:pt idx="152">
                <c:v>45111.933333333298</c:v>
              </c:pt>
              <c:pt idx="153">
                <c:v>45113.15</c:v>
              </c:pt>
              <c:pt idx="154">
                <c:v>45114.366666666698</c:v>
              </c:pt>
              <c:pt idx="155">
                <c:v>45115.583333333299</c:v>
              </c:pt>
              <c:pt idx="156">
                <c:v>45116.800000000003</c:v>
              </c:pt>
              <c:pt idx="157">
                <c:v>45118.016666666699</c:v>
              </c:pt>
              <c:pt idx="158">
                <c:v>45119.233333333301</c:v>
              </c:pt>
              <c:pt idx="159">
                <c:v>45120.45</c:v>
              </c:pt>
              <c:pt idx="160">
                <c:v>45121.666666666701</c:v>
              </c:pt>
              <c:pt idx="161">
                <c:v>45122.883333333302</c:v>
              </c:pt>
              <c:pt idx="162">
                <c:v>45124.1</c:v>
              </c:pt>
              <c:pt idx="163">
                <c:v>45125.316666666702</c:v>
              </c:pt>
              <c:pt idx="164">
                <c:v>45126.533333333296</c:v>
              </c:pt>
              <c:pt idx="165">
                <c:v>45127.75</c:v>
              </c:pt>
              <c:pt idx="166">
                <c:v>45128.966666666704</c:v>
              </c:pt>
              <c:pt idx="167">
                <c:v>45130.183333333298</c:v>
              </c:pt>
              <c:pt idx="168">
                <c:v>45131.4</c:v>
              </c:pt>
              <c:pt idx="169">
                <c:v>45132.616666666698</c:v>
              </c:pt>
              <c:pt idx="170">
                <c:v>45133.833333333299</c:v>
              </c:pt>
              <c:pt idx="171">
                <c:v>45135.05</c:v>
              </c:pt>
              <c:pt idx="172">
                <c:v>45136.266666666699</c:v>
              </c:pt>
              <c:pt idx="173">
                <c:v>45137.483333333301</c:v>
              </c:pt>
              <c:pt idx="174">
                <c:v>45138.7</c:v>
              </c:pt>
              <c:pt idx="175">
                <c:v>45139.916666666701</c:v>
              </c:pt>
              <c:pt idx="176">
                <c:v>45141.133333333302</c:v>
              </c:pt>
              <c:pt idx="177">
                <c:v>45142.35</c:v>
              </c:pt>
              <c:pt idx="178">
                <c:v>45143.566666666702</c:v>
              </c:pt>
              <c:pt idx="179">
                <c:v>45144.783333333296</c:v>
              </c:pt>
              <c:pt idx="180">
                <c:v>45146</c:v>
              </c:pt>
              <c:pt idx="181">
                <c:v>45147.216666666704</c:v>
              </c:pt>
              <c:pt idx="182">
                <c:v>45148.433333333298</c:v>
              </c:pt>
              <c:pt idx="183">
                <c:v>45149.65</c:v>
              </c:pt>
              <c:pt idx="184">
                <c:v>45150.866666666698</c:v>
              </c:pt>
              <c:pt idx="185">
                <c:v>45152.083333333299</c:v>
              </c:pt>
              <c:pt idx="186">
                <c:v>45153.3</c:v>
              </c:pt>
              <c:pt idx="187">
                <c:v>45154.516666666699</c:v>
              </c:pt>
              <c:pt idx="188">
                <c:v>45155.733333333301</c:v>
              </c:pt>
              <c:pt idx="189">
                <c:v>45156.95</c:v>
              </c:pt>
              <c:pt idx="190">
                <c:v>45158.166666666701</c:v>
              </c:pt>
              <c:pt idx="191">
                <c:v>45159.383333333302</c:v>
              </c:pt>
              <c:pt idx="192">
                <c:v>45160.6</c:v>
              </c:pt>
              <c:pt idx="193">
                <c:v>45161.816666666702</c:v>
              </c:pt>
              <c:pt idx="194">
                <c:v>45163.033333333296</c:v>
              </c:pt>
              <c:pt idx="195">
                <c:v>45164.25</c:v>
              </c:pt>
              <c:pt idx="196">
                <c:v>45165.466666666704</c:v>
              </c:pt>
              <c:pt idx="197">
                <c:v>45166.683333333298</c:v>
              </c:pt>
              <c:pt idx="198">
                <c:v>45167.9</c:v>
              </c:pt>
              <c:pt idx="199">
                <c:v>45169.116666666698</c:v>
              </c:pt>
              <c:pt idx="200">
                <c:v>45170.333333333299</c:v>
              </c:pt>
              <c:pt idx="201">
                <c:v>45171.55</c:v>
              </c:pt>
              <c:pt idx="202">
                <c:v>45172.766666666699</c:v>
              </c:pt>
              <c:pt idx="203">
                <c:v>45173.983333333301</c:v>
              </c:pt>
              <c:pt idx="204">
                <c:v>45175.199999999997</c:v>
              </c:pt>
              <c:pt idx="205">
                <c:v>45176.416666666701</c:v>
              </c:pt>
              <c:pt idx="206">
                <c:v>45177.633333333302</c:v>
              </c:pt>
              <c:pt idx="207">
                <c:v>45178.85</c:v>
              </c:pt>
              <c:pt idx="208">
                <c:v>45180.066666666702</c:v>
              </c:pt>
              <c:pt idx="209">
                <c:v>45181.283333333296</c:v>
              </c:pt>
              <c:pt idx="210">
                <c:v>45182.5</c:v>
              </c:pt>
              <c:pt idx="211">
                <c:v>45183.716666666704</c:v>
              </c:pt>
              <c:pt idx="212">
                <c:v>45184.933333333298</c:v>
              </c:pt>
              <c:pt idx="213">
                <c:v>45186.15</c:v>
              </c:pt>
              <c:pt idx="214">
                <c:v>45187.366666666698</c:v>
              </c:pt>
              <c:pt idx="215">
                <c:v>45188.583333333299</c:v>
              </c:pt>
              <c:pt idx="216">
                <c:v>45189.8</c:v>
              </c:pt>
              <c:pt idx="217">
                <c:v>45191.016666666699</c:v>
              </c:pt>
              <c:pt idx="218">
                <c:v>45192.233333333301</c:v>
              </c:pt>
              <c:pt idx="219">
                <c:v>45193.45</c:v>
              </c:pt>
              <c:pt idx="220">
                <c:v>45194.666666666701</c:v>
              </c:pt>
              <c:pt idx="221">
                <c:v>45195.883333333302</c:v>
              </c:pt>
              <c:pt idx="222">
                <c:v>45197.1</c:v>
              </c:pt>
              <c:pt idx="223">
                <c:v>45198.316666666702</c:v>
              </c:pt>
              <c:pt idx="224">
                <c:v>45199.533333333296</c:v>
              </c:pt>
              <c:pt idx="225">
                <c:v>45200.75</c:v>
              </c:pt>
              <c:pt idx="226">
                <c:v>45201.966666666704</c:v>
              </c:pt>
              <c:pt idx="227">
                <c:v>45203.183333333298</c:v>
              </c:pt>
              <c:pt idx="228">
                <c:v>45204.4</c:v>
              </c:pt>
              <c:pt idx="229">
                <c:v>45205.616666666698</c:v>
              </c:pt>
              <c:pt idx="230">
                <c:v>45206.833333333299</c:v>
              </c:pt>
              <c:pt idx="231">
                <c:v>45208.05</c:v>
              </c:pt>
              <c:pt idx="232">
                <c:v>45209.266666666699</c:v>
              </c:pt>
              <c:pt idx="233">
                <c:v>45210.483333333301</c:v>
              </c:pt>
              <c:pt idx="234">
                <c:v>45211.7</c:v>
              </c:pt>
              <c:pt idx="235">
                <c:v>45212.916666666701</c:v>
              </c:pt>
              <c:pt idx="236">
                <c:v>45214.133333333302</c:v>
              </c:pt>
              <c:pt idx="237">
                <c:v>45215.35</c:v>
              </c:pt>
              <c:pt idx="238">
                <c:v>45216.566666666702</c:v>
              </c:pt>
              <c:pt idx="239">
                <c:v>45217.783333333296</c:v>
              </c:pt>
              <c:pt idx="240">
                <c:v>45219</c:v>
              </c:pt>
              <c:pt idx="241">
                <c:v>45220.216666666704</c:v>
              </c:pt>
              <c:pt idx="242">
                <c:v>45221.433333333298</c:v>
              </c:pt>
              <c:pt idx="243">
                <c:v>45222.65</c:v>
              </c:pt>
              <c:pt idx="244">
                <c:v>45223.866666666698</c:v>
              </c:pt>
              <c:pt idx="245">
                <c:v>45225.083333333299</c:v>
              </c:pt>
              <c:pt idx="246">
                <c:v>45226.3</c:v>
              </c:pt>
              <c:pt idx="247">
                <c:v>45227.516666666699</c:v>
              </c:pt>
              <c:pt idx="248">
                <c:v>45228.733333333301</c:v>
              </c:pt>
              <c:pt idx="249">
                <c:v>45229.95</c:v>
              </c:pt>
              <c:pt idx="250">
                <c:v>45231.166666666701</c:v>
              </c:pt>
              <c:pt idx="251">
                <c:v>45232.383333333302</c:v>
              </c:pt>
              <c:pt idx="252">
                <c:v>45233.599999999999</c:v>
              </c:pt>
              <c:pt idx="253">
                <c:v>45234.816666666702</c:v>
              </c:pt>
              <c:pt idx="254">
                <c:v>45236.033333333296</c:v>
              </c:pt>
              <c:pt idx="255">
                <c:v>45237.25</c:v>
              </c:pt>
              <c:pt idx="256">
                <c:v>45238.466666666704</c:v>
              </c:pt>
              <c:pt idx="257">
                <c:v>45239.683333333298</c:v>
              </c:pt>
              <c:pt idx="258">
                <c:v>45240.9</c:v>
              </c:pt>
              <c:pt idx="259">
                <c:v>45242.116666666698</c:v>
              </c:pt>
              <c:pt idx="260">
                <c:v>45243.333333333299</c:v>
              </c:pt>
              <c:pt idx="261">
                <c:v>45244.55</c:v>
              </c:pt>
              <c:pt idx="262">
                <c:v>45245.766666666699</c:v>
              </c:pt>
              <c:pt idx="263">
                <c:v>45246.983333333301</c:v>
              </c:pt>
              <c:pt idx="264">
                <c:v>45248.2</c:v>
              </c:pt>
              <c:pt idx="265">
                <c:v>45249.416666666701</c:v>
              </c:pt>
              <c:pt idx="266">
                <c:v>45250.633333333302</c:v>
              </c:pt>
              <c:pt idx="267">
                <c:v>45251.85</c:v>
              </c:pt>
              <c:pt idx="268">
                <c:v>45253.066666666702</c:v>
              </c:pt>
              <c:pt idx="269">
                <c:v>45254.283333333296</c:v>
              </c:pt>
              <c:pt idx="270">
                <c:v>45255.5</c:v>
              </c:pt>
              <c:pt idx="271">
                <c:v>45256.716666666704</c:v>
              </c:pt>
              <c:pt idx="272">
                <c:v>45257.933333333298</c:v>
              </c:pt>
              <c:pt idx="273">
                <c:v>45259.15</c:v>
              </c:pt>
              <c:pt idx="274">
                <c:v>45260.366666666698</c:v>
              </c:pt>
              <c:pt idx="275">
                <c:v>45261.583333333299</c:v>
              </c:pt>
              <c:pt idx="276">
                <c:v>45262.8</c:v>
              </c:pt>
              <c:pt idx="277">
                <c:v>45264.016666666699</c:v>
              </c:pt>
              <c:pt idx="278">
                <c:v>45265.233333333301</c:v>
              </c:pt>
              <c:pt idx="279">
                <c:v>45266.45</c:v>
              </c:pt>
              <c:pt idx="280">
                <c:v>45267.666666666701</c:v>
              </c:pt>
              <c:pt idx="281">
                <c:v>45268.883333333302</c:v>
              </c:pt>
              <c:pt idx="282">
                <c:v>45270.1</c:v>
              </c:pt>
              <c:pt idx="283">
                <c:v>45271.316666666702</c:v>
              </c:pt>
              <c:pt idx="284">
                <c:v>45272.533333333296</c:v>
              </c:pt>
              <c:pt idx="285">
                <c:v>45273.75</c:v>
              </c:pt>
              <c:pt idx="286">
                <c:v>45274.966666666704</c:v>
              </c:pt>
              <c:pt idx="287">
                <c:v>45276.183333333298</c:v>
              </c:pt>
              <c:pt idx="288">
                <c:v>45277.4</c:v>
              </c:pt>
              <c:pt idx="289">
                <c:v>45278.616666666698</c:v>
              </c:pt>
              <c:pt idx="290">
                <c:v>45279.833333333299</c:v>
              </c:pt>
              <c:pt idx="291">
                <c:v>45281.05</c:v>
              </c:pt>
              <c:pt idx="292">
                <c:v>45282.266666666699</c:v>
              </c:pt>
              <c:pt idx="293">
                <c:v>45283.483333333301</c:v>
              </c:pt>
              <c:pt idx="294">
                <c:v>45284.7</c:v>
              </c:pt>
              <c:pt idx="295">
                <c:v>45285.916666666701</c:v>
              </c:pt>
              <c:pt idx="296">
                <c:v>45287.133333333302</c:v>
              </c:pt>
            </c:numLit>
          </c:xVal>
          <c:yVal>
            <c:numLit>
              <c:formatCode>General</c:formatCode>
              <c:ptCount val="297"/>
              <c:pt idx="0">
                <c:v>74.447999999999993</c:v>
              </c:pt>
              <c:pt idx="1">
                <c:v>74.447999999999993</c:v>
              </c:pt>
              <c:pt idx="2">
                <c:v>74.447999999999993</c:v>
              </c:pt>
              <c:pt idx="3">
                <c:v>75.150999999999996</c:v>
              </c:pt>
              <c:pt idx="4">
                <c:v>75.150999999999996</c:v>
              </c:pt>
              <c:pt idx="5">
                <c:v>75.150999999999996</c:v>
              </c:pt>
              <c:pt idx="6">
                <c:v>75.150999999999996</c:v>
              </c:pt>
              <c:pt idx="7">
                <c:v>75.150999999999996</c:v>
              </c:pt>
              <c:pt idx="8">
                <c:v>75.150999999999996</c:v>
              </c:pt>
              <c:pt idx="9">
                <c:v>75.150999999999996</c:v>
              </c:pt>
              <c:pt idx="10">
                <c:v>75.150999999999996</c:v>
              </c:pt>
              <c:pt idx="11">
                <c:v>75.150999999999996</c:v>
              </c:pt>
              <c:pt idx="12">
                <c:v>75.150999999999996</c:v>
              </c:pt>
              <c:pt idx="13">
                <c:v>75.150999999999996</c:v>
              </c:pt>
              <c:pt idx="14">
                <c:v>75.150999999999996</c:v>
              </c:pt>
              <c:pt idx="15">
                <c:v>75.150999999999996</c:v>
              </c:pt>
              <c:pt idx="16">
                <c:v>75.150999999999996</c:v>
              </c:pt>
              <c:pt idx="17">
                <c:v>75.150999999999996</c:v>
              </c:pt>
              <c:pt idx="18">
                <c:v>75.150999999999996</c:v>
              </c:pt>
              <c:pt idx="19">
                <c:v>75.150999999999996</c:v>
              </c:pt>
              <c:pt idx="20">
                <c:v>75.150999999999996</c:v>
              </c:pt>
              <c:pt idx="21">
                <c:v>75.150999999999996</c:v>
              </c:pt>
              <c:pt idx="22">
                <c:v>75.150999999999996</c:v>
              </c:pt>
              <c:pt idx="23">
                <c:v>75.150999999999996</c:v>
              </c:pt>
              <c:pt idx="24">
                <c:v>75.150999999999996</c:v>
              </c:pt>
              <c:pt idx="25">
                <c:v>75.150999999999996</c:v>
              </c:pt>
              <c:pt idx="26">
                <c:v>75.150999999999996</c:v>
              </c:pt>
              <c:pt idx="27">
                <c:v>75.150999999999996</c:v>
              </c:pt>
              <c:pt idx="28">
                <c:v>75.150999999999996</c:v>
              </c:pt>
              <c:pt idx="29">
                <c:v>75.150999999999996</c:v>
              </c:pt>
              <c:pt idx="30">
                <c:v>75.150999999999996</c:v>
              </c:pt>
              <c:pt idx="31">
                <c:v>75.852999999999994</c:v>
              </c:pt>
              <c:pt idx="32">
                <c:v>75.852999999999994</c:v>
              </c:pt>
              <c:pt idx="33">
                <c:v>75.852999999999994</c:v>
              </c:pt>
              <c:pt idx="34">
                <c:v>75.852999999999994</c:v>
              </c:pt>
              <c:pt idx="35">
                <c:v>75.852999999999994</c:v>
              </c:pt>
              <c:pt idx="36">
                <c:v>75.852999999999994</c:v>
              </c:pt>
              <c:pt idx="37">
                <c:v>75.852999999999994</c:v>
              </c:pt>
              <c:pt idx="38">
                <c:v>75.852999999999994</c:v>
              </c:pt>
              <c:pt idx="39">
                <c:v>75.852999999999994</c:v>
              </c:pt>
              <c:pt idx="40">
                <c:v>75.852999999999994</c:v>
              </c:pt>
              <c:pt idx="41">
                <c:v>75.852999999999994</c:v>
              </c:pt>
              <c:pt idx="42">
                <c:v>75.852999999999994</c:v>
              </c:pt>
              <c:pt idx="43">
                <c:v>75.852999999999994</c:v>
              </c:pt>
              <c:pt idx="44">
                <c:v>75.852999999999994</c:v>
              </c:pt>
              <c:pt idx="45">
                <c:v>75.852999999999994</c:v>
              </c:pt>
              <c:pt idx="46">
                <c:v>75.852999999999994</c:v>
              </c:pt>
              <c:pt idx="47">
                <c:v>75.852999999999994</c:v>
              </c:pt>
              <c:pt idx="48">
                <c:v>75.852999999999994</c:v>
              </c:pt>
              <c:pt idx="49">
                <c:v>75.852999999999994</c:v>
              </c:pt>
              <c:pt idx="50">
                <c:v>75.852999999999994</c:v>
              </c:pt>
              <c:pt idx="51">
                <c:v>75.852999999999994</c:v>
              </c:pt>
              <c:pt idx="52">
                <c:v>75.852999999999994</c:v>
              </c:pt>
              <c:pt idx="53">
                <c:v>75.852999999999994</c:v>
              </c:pt>
              <c:pt idx="54">
                <c:v>75.852999999999994</c:v>
              </c:pt>
              <c:pt idx="55">
                <c:v>75.852999999999994</c:v>
              </c:pt>
              <c:pt idx="56">
                <c:v>76.555000000000007</c:v>
              </c:pt>
              <c:pt idx="57">
                <c:v>76.555000000000007</c:v>
              </c:pt>
              <c:pt idx="58">
                <c:v>76.555000000000007</c:v>
              </c:pt>
              <c:pt idx="59">
                <c:v>76.555000000000007</c:v>
              </c:pt>
              <c:pt idx="60">
                <c:v>76.555000000000007</c:v>
              </c:pt>
              <c:pt idx="61">
                <c:v>76.555000000000007</c:v>
              </c:pt>
              <c:pt idx="62">
                <c:v>76.555000000000007</c:v>
              </c:pt>
              <c:pt idx="63">
                <c:v>76.555000000000007</c:v>
              </c:pt>
              <c:pt idx="64">
                <c:v>76.555000000000007</c:v>
              </c:pt>
              <c:pt idx="65">
                <c:v>76.555000000000007</c:v>
              </c:pt>
              <c:pt idx="66">
                <c:v>76.555000000000007</c:v>
              </c:pt>
              <c:pt idx="67">
                <c:v>76.555000000000007</c:v>
              </c:pt>
              <c:pt idx="68">
                <c:v>76.555000000000007</c:v>
              </c:pt>
              <c:pt idx="69">
                <c:v>76.555000000000007</c:v>
              </c:pt>
              <c:pt idx="70">
                <c:v>76.555000000000007</c:v>
              </c:pt>
              <c:pt idx="71">
                <c:v>76.555000000000007</c:v>
              </c:pt>
              <c:pt idx="72">
                <c:v>76.555000000000007</c:v>
              </c:pt>
              <c:pt idx="73">
                <c:v>76.555000000000007</c:v>
              </c:pt>
              <c:pt idx="74">
                <c:v>76.555000000000007</c:v>
              </c:pt>
              <c:pt idx="75">
                <c:v>76.555000000000007</c:v>
              </c:pt>
              <c:pt idx="76">
                <c:v>76.555000000000007</c:v>
              </c:pt>
              <c:pt idx="77">
                <c:v>76.555000000000007</c:v>
              </c:pt>
              <c:pt idx="78">
                <c:v>76.555000000000007</c:v>
              </c:pt>
              <c:pt idx="79">
                <c:v>76.555000000000007</c:v>
              </c:pt>
              <c:pt idx="80">
                <c:v>77.257999999999996</c:v>
              </c:pt>
              <c:pt idx="81">
                <c:v>77.257999999999996</c:v>
              </c:pt>
              <c:pt idx="82">
                <c:v>77.257999999999996</c:v>
              </c:pt>
              <c:pt idx="83">
                <c:v>77.257999999999996</c:v>
              </c:pt>
              <c:pt idx="84">
                <c:v>77.257999999999996</c:v>
              </c:pt>
              <c:pt idx="85">
                <c:v>77.257999999999996</c:v>
              </c:pt>
              <c:pt idx="86">
                <c:v>77.257999999999996</c:v>
              </c:pt>
              <c:pt idx="87">
                <c:v>77.257999999999996</c:v>
              </c:pt>
              <c:pt idx="88">
                <c:v>77.257999999999996</c:v>
              </c:pt>
              <c:pt idx="89">
                <c:v>77.257999999999996</c:v>
              </c:pt>
              <c:pt idx="90">
                <c:v>77.257999999999996</c:v>
              </c:pt>
              <c:pt idx="91">
                <c:v>77.257999999999996</c:v>
              </c:pt>
              <c:pt idx="92">
                <c:v>77.257999999999996</c:v>
              </c:pt>
              <c:pt idx="93">
                <c:v>77.257999999999996</c:v>
              </c:pt>
              <c:pt idx="94">
                <c:v>77.257999999999996</c:v>
              </c:pt>
              <c:pt idx="95">
                <c:v>77.257999999999996</c:v>
              </c:pt>
              <c:pt idx="96">
                <c:v>77.257999999999996</c:v>
              </c:pt>
              <c:pt idx="97">
                <c:v>77.257999999999996</c:v>
              </c:pt>
              <c:pt idx="98">
                <c:v>77.257999999999996</c:v>
              </c:pt>
              <c:pt idx="99">
                <c:v>77.257999999999996</c:v>
              </c:pt>
              <c:pt idx="100">
                <c:v>77.257999999999996</c:v>
              </c:pt>
              <c:pt idx="101">
                <c:v>77.959999999999994</c:v>
              </c:pt>
              <c:pt idx="102">
                <c:v>77.959999999999994</c:v>
              </c:pt>
              <c:pt idx="103">
                <c:v>77.959999999999994</c:v>
              </c:pt>
              <c:pt idx="104">
                <c:v>77.959999999999994</c:v>
              </c:pt>
              <c:pt idx="105">
                <c:v>77.959999999999994</c:v>
              </c:pt>
              <c:pt idx="106">
                <c:v>77.959999999999994</c:v>
              </c:pt>
              <c:pt idx="107">
                <c:v>77.959999999999994</c:v>
              </c:pt>
              <c:pt idx="108">
                <c:v>77.959999999999994</c:v>
              </c:pt>
              <c:pt idx="109">
                <c:v>77.959999999999994</c:v>
              </c:pt>
              <c:pt idx="110">
                <c:v>77.959999999999994</c:v>
              </c:pt>
              <c:pt idx="111">
                <c:v>77.959999999999994</c:v>
              </c:pt>
              <c:pt idx="112">
                <c:v>77.959999999999994</c:v>
              </c:pt>
              <c:pt idx="113">
                <c:v>77.959999999999994</c:v>
              </c:pt>
              <c:pt idx="114">
                <c:v>77.959999999999994</c:v>
              </c:pt>
              <c:pt idx="115">
                <c:v>77.959999999999994</c:v>
              </c:pt>
              <c:pt idx="116">
                <c:v>77.959999999999994</c:v>
              </c:pt>
              <c:pt idx="117">
                <c:v>77.959999999999994</c:v>
              </c:pt>
              <c:pt idx="118">
                <c:v>77.959999999999994</c:v>
              </c:pt>
              <c:pt idx="119">
                <c:v>77.959999999999994</c:v>
              </c:pt>
              <c:pt idx="120">
                <c:v>77.959999999999994</c:v>
              </c:pt>
              <c:pt idx="121">
                <c:v>78.662000000000006</c:v>
              </c:pt>
              <c:pt idx="122">
                <c:v>78.662000000000006</c:v>
              </c:pt>
              <c:pt idx="123">
                <c:v>78.662000000000006</c:v>
              </c:pt>
              <c:pt idx="124">
                <c:v>78.662000000000006</c:v>
              </c:pt>
              <c:pt idx="125">
                <c:v>78.662000000000006</c:v>
              </c:pt>
              <c:pt idx="126">
                <c:v>78.662000000000006</c:v>
              </c:pt>
              <c:pt idx="127">
                <c:v>78.662000000000006</c:v>
              </c:pt>
              <c:pt idx="128">
                <c:v>78.662000000000006</c:v>
              </c:pt>
              <c:pt idx="129">
                <c:v>78.662000000000006</c:v>
              </c:pt>
              <c:pt idx="130">
                <c:v>78.662000000000006</c:v>
              </c:pt>
              <c:pt idx="131">
                <c:v>78.662000000000006</c:v>
              </c:pt>
              <c:pt idx="132">
                <c:v>78.662000000000006</c:v>
              </c:pt>
              <c:pt idx="133">
                <c:v>78.662000000000006</c:v>
              </c:pt>
              <c:pt idx="134">
                <c:v>78.662000000000006</c:v>
              </c:pt>
              <c:pt idx="135">
                <c:v>78.662000000000006</c:v>
              </c:pt>
              <c:pt idx="136">
                <c:v>78.662000000000006</c:v>
              </c:pt>
              <c:pt idx="137">
                <c:v>78.662000000000006</c:v>
              </c:pt>
              <c:pt idx="138">
                <c:v>78.662000000000006</c:v>
              </c:pt>
              <c:pt idx="139">
                <c:v>79.364999999999995</c:v>
              </c:pt>
              <c:pt idx="140">
                <c:v>79.364999999999995</c:v>
              </c:pt>
              <c:pt idx="141">
                <c:v>79.364999999999995</c:v>
              </c:pt>
              <c:pt idx="142">
                <c:v>79.364999999999995</c:v>
              </c:pt>
              <c:pt idx="143">
                <c:v>79.364999999999995</c:v>
              </c:pt>
              <c:pt idx="144">
                <c:v>79.364999999999995</c:v>
              </c:pt>
              <c:pt idx="145">
                <c:v>79.364999999999995</c:v>
              </c:pt>
              <c:pt idx="146">
                <c:v>79.364999999999995</c:v>
              </c:pt>
              <c:pt idx="147">
                <c:v>79.364999999999995</c:v>
              </c:pt>
              <c:pt idx="148">
                <c:v>79.364999999999995</c:v>
              </c:pt>
              <c:pt idx="149">
                <c:v>79.364999999999995</c:v>
              </c:pt>
              <c:pt idx="150">
                <c:v>79.364999999999995</c:v>
              </c:pt>
              <c:pt idx="151">
                <c:v>79.364999999999995</c:v>
              </c:pt>
              <c:pt idx="152">
                <c:v>79.364999999999995</c:v>
              </c:pt>
              <c:pt idx="153">
                <c:v>79.364999999999995</c:v>
              </c:pt>
              <c:pt idx="154">
                <c:v>79.364999999999995</c:v>
              </c:pt>
              <c:pt idx="155">
                <c:v>79.364999999999995</c:v>
              </c:pt>
              <c:pt idx="156">
                <c:v>80.066999999999993</c:v>
              </c:pt>
              <c:pt idx="157">
                <c:v>80.066999999999993</c:v>
              </c:pt>
              <c:pt idx="158">
                <c:v>80.066999999999993</c:v>
              </c:pt>
              <c:pt idx="159">
                <c:v>80.066999999999993</c:v>
              </c:pt>
              <c:pt idx="160">
                <c:v>80.066999999999993</c:v>
              </c:pt>
              <c:pt idx="161">
                <c:v>80.066999999999993</c:v>
              </c:pt>
              <c:pt idx="162">
                <c:v>80.066999999999993</c:v>
              </c:pt>
              <c:pt idx="163">
                <c:v>80.066999999999993</c:v>
              </c:pt>
              <c:pt idx="164">
                <c:v>80.066999999999993</c:v>
              </c:pt>
              <c:pt idx="165">
                <c:v>80.066999999999993</c:v>
              </c:pt>
              <c:pt idx="166">
                <c:v>80.066999999999993</c:v>
              </c:pt>
              <c:pt idx="167">
                <c:v>80.066999999999993</c:v>
              </c:pt>
              <c:pt idx="168">
                <c:v>80.066999999999993</c:v>
              </c:pt>
              <c:pt idx="169">
                <c:v>80.066999999999993</c:v>
              </c:pt>
              <c:pt idx="170">
                <c:v>80.066999999999993</c:v>
              </c:pt>
              <c:pt idx="171">
                <c:v>80.769000000000005</c:v>
              </c:pt>
              <c:pt idx="172">
                <c:v>80.769000000000005</c:v>
              </c:pt>
              <c:pt idx="173">
                <c:v>80.769000000000005</c:v>
              </c:pt>
              <c:pt idx="174">
                <c:v>80.769000000000005</c:v>
              </c:pt>
              <c:pt idx="175">
                <c:v>80.769000000000005</c:v>
              </c:pt>
              <c:pt idx="176">
                <c:v>80.769000000000005</c:v>
              </c:pt>
              <c:pt idx="177">
                <c:v>80.769000000000005</c:v>
              </c:pt>
              <c:pt idx="178">
                <c:v>80.769000000000005</c:v>
              </c:pt>
              <c:pt idx="179">
                <c:v>80.769000000000005</c:v>
              </c:pt>
              <c:pt idx="180">
                <c:v>80.769000000000005</c:v>
              </c:pt>
              <c:pt idx="181">
                <c:v>80.769000000000005</c:v>
              </c:pt>
              <c:pt idx="182">
                <c:v>80.769000000000005</c:v>
              </c:pt>
              <c:pt idx="183">
                <c:v>80.769000000000005</c:v>
              </c:pt>
              <c:pt idx="184">
                <c:v>81.471999999999994</c:v>
              </c:pt>
              <c:pt idx="185">
                <c:v>81.471999999999994</c:v>
              </c:pt>
              <c:pt idx="186">
                <c:v>81.471999999999994</c:v>
              </c:pt>
              <c:pt idx="187">
                <c:v>81.471999999999994</c:v>
              </c:pt>
              <c:pt idx="188">
                <c:v>81.471999999999994</c:v>
              </c:pt>
              <c:pt idx="189">
                <c:v>81.471999999999994</c:v>
              </c:pt>
              <c:pt idx="190">
                <c:v>81.471999999999994</c:v>
              </c:pt>
              <c:pt idx="191">
                <c:v>81.471999999999994</c:v>
              </c:pt>
              <c:pt idx="192">
                <c:v>81.471999999999994</c:v>
              </c:pt>
              <c:pt idx="193">
                <c:v>81.471999999999994</c:v>
              </c:pt>
              <c:pt idx="194">
                <c:v>81.471999999999994</c:v>
              </c:pt>
              <c:pt idx="195">
                <c:v>81.471999999999994</c:v>
              </c:pt>
              <c:pt idx="196">
                <c:v>81.471999999999994</c:v>
              </c:pt>
              <c:pt idx="197">
                <c:v>82.174000000000007</c:v>
              </c:pt>
              <c:pt idx="198">
                <c:v>82.174000000000007</c:v>
              </c:pt>
              <c:pt idx="199">
                <c:v>82.174000000000007</c:v>
              </c:pt>
              <c:pt idx="200">
                <c:v>82.174000000000007</c:v>
              </c:pt>
              <c:pt idx="201">
                <c:v>82.174000000000007</c:v>
              </c:pt>
              <c:pt idx="202">
                <c:v>82.174000000000007</c:v>
              </c:pt>
              <c:pt idx="203">
                <c:v>82.174000000000007</c:v>
              </c:pt>
              <c:pt idx="204">
                <c:v>82.174000000000007</c:v>
              </c:pt>
              <c:pt idx="205">
                <c:v>82.174000000000007</c:v>
              </c:pt>
              <c:pt idx="206">
                <c:v>82.174000000000007</c:v>
              </c:pt>
              <c:pt idx="207">
                <c:v>82.174000000000007</c:v>
              </c:pt>
              <c:pt idx="208">
                <c:v>82.876000000000005</c:v>
              </c:pt>
              <c:pt idx="209">
                <c:v>82.876000000000005</c:v>
              </c:pt>
              <c:pt idx="210">
                <c:v>82.876000000000005</c:v>
              </c:pt>
              <c:pt idx="211">
                <c:v>82.876000000000005</c:v>
              </c:pt>
              <c:pt idx="212">
                <c:v>82.876000000000005</c:v>
              </c:pt>
              <c:pt idx="213">
                <c:v>82.876000000000005</c:v>
              </c:pt>
              <c:pt idx="214">
                <c:v>82.876000000000005</c:v>
              </c:pt>
              <c:pt idx="215">
                <c:v>82.876000000000005</c:v>
              </c:pt>
              <c:pt idx="216">
                <c:v>82.876000000000005</c:v>
              </c:pt>
              <c:pt idx="217">
                <c:v>82.876000000000005</c:v>
              </c:pt>
              <c:pt idx="218">
                <c:v>82.876000000000005</c:v>
              </c:pt>
              <c:pt idx="219">
                <c:v>83.578999999999994</c:v>
              </c:pt>
              <c:pt idx="220">
                <c:v>83.578999999999994</c:v>
              </c:pt>
              <c:pt idx="221">
                <c:v>83.578999999999994</c:v>
              </c:pt>
              <c:pt idx="222">
                <c:v>83.578999999999994</c:v>
              </c:pt>
              <c:pt idx="223">
                <c:v>83.578999999999994</c:v>
              </c:pt>
              <c:pt idx="224">
                <c:v>83.578999999999994</c:v>
              </c:pt>
              <c:pt idx="225">
                <c:v>83.578999999999994</c:v>
              </c:pt>
              <c:pt idx="226">
                <c:v>83.578999999999994</c:v>
              </c:pt>
              <c:pt idx="227">
                <c:v>83.578999999999994</c:v>
              </c:pt>
              <c:pt idx="228">
                <c:v>84.281000000000006</c:v>
              </c:pt>
              <c:pt idx="229">
                <c:v>84.281000000000006</c:v>
              </c:pt>
              <c:pt idx="230">
                <c:v>84.281000000000006</c:v>
              </c:pt>
              <c:pt idx="231">
                <c:v>84.281000000000006</c:v>
              </c:pt>
              <c:pt idx="232">
                <c:v>84.281000000000006</c:v>
              </c:pt>
              <c:pt idx="233">
                <c:v>84.281000000000006</c:v>
              </c:pt>
              <c:pt idx="234">
                <c:v>84.281000000000006</c:v>
              </c:pt>
              <c:pt idx="235">
                <c:v>84.281000000000006</c:v>
              </c:pt>
              <c:pt idx="236">
                <c:v>84.281000000000006</c:v>
              </c:pt>
              <c:pt idx="237">
                <c:v>84.983000000000004</c:v>
              </c:pt>
              <c:pt idx="238">
                <c:v>84.983000000000004</c:v>
              </c:pt>
              <c:pt idx="239">
                <c:v>84.983000000000004</c:v>
              </c:pt>
              <c:pt idx="240">
                <c:v>84.983000000000004</c:v>
              </c:pt>
              <c:pt idx="241">
                <c:v>84.983000000000004</c:v>
              </c:pt>
              <c:pt idx="242">
                <c:v>84.983000000000004</c:v>
              </c:pt>
              <c:pt idx="243">
                <c:v>84.983000000000004</c:v>
              </c:pt>
              <c:pt idx="244">
                <c:v>84.983000000000004</c:v>
              </c:pt>
              <c:pt idx="245">
                <c:v>85.686000000000007</c:v>
              </c:pt>
              <c:pt idx="246">
                <c:v>85.686000000000007</c:v>
              </c:pt>
              <c:pt idx="247">
                <c:v>85.686000000000007</c:v>
              </c:pt>
              <c:pt idx="248">
                <c:v>85.686000000000007</c:v>
              </c:pt>
              <c:pt idx="249">
                <c:v>85.686000000000007</c:v>
              </c:pt>
              <c:pt idx="250">
                <c:v>85.686000000000007</c:v>
              </c:pt>
              <c:pt idx="251">
                <c:v>85.686000000000007</c:v>
              </c:pt>
              <c:pt idx="252">
                <c:v>86.388000000000005</c:v>
              </c:pt>
              <c:pt idx="253">
                <c:v>86.388000000000005</c:v>
              </c:pt>
              <c:pt idx="254">
                <c:v>86.388000000000005</c:v>
              </c:pt>
              <c:pt idx="255">
                <c:v>86.388000000000005</c:v>
              </c:pt>
              <c:pt idx="256">
                <c:v>86.388000000000005</c:v>
              </c:pt>
              <c:pt idx="257">
                <c:v>86.388000000000005</c:v>
              </c:pt>
              <c:pt idx="258">
                <c:v>87.09</c:v>
              </c:pt>
              <c:pt idx="259">
                <c:v>87.09</c:v>
              </c:pt>
              <c:pt idx="260">
                <c:v>87.09</c:v>
              </c:pt>
              <c:pt idx="261">
                <c:v>87.09</c:v>
              </c:pt>
              <c:pt idx="262">
                <c:v>87.09</c:v>
              </c:pt>
              <c:pt idx="263">
                <c:v>87.09</c:v>
              </c:pt>
              <c:pt idx="264">
                <c:v>87.793000000000006</c:v>
              </c:pt>
              <c:pt idx="265">
                <c:v>87.793000000000006</c:v>
              </c:pt>
              <c:pt idx="266">
                <c:v>87.793000000000006</c:v>
              </c:pt>
              <c:pt idx="267">
                <c:v>87.793000000000006</c:v>
              </c:pt>
              <c:pt idx="268">
                <c:v>87.793000000000006</c:v>
              </c:pt>
              <c:pt idx="269">
                <c:v>88.495000000000005</c:v>
              </c:pt>
              <c:pt idx="270">
                <c:v>88.495000000000005</c:v>
              </c:pt>
              <c:pt idx="271">
                <c:v>88.495000000000005</c:v>
              </c:pt>
              <c:pt idx="272">
                <c:v>88.495000000000005</c:v>
              </c:pt>
              <c:pt idx="273">
                <c:v>88.495000000000005</c:v>
              </c:pt>
              <c:pt idx="274">
                <c:v>89.197000000000003</c:v>
              </c:pt>
              <c:pt idx="275">
                <c:v>89.197000000000003</c:v>
              </c:pt>
              <c:pt idx="276">
                <c:v>89.197000000000003</c:v>
              </c:pt>
              <c:pt idx="277">
                <c:v>89.197000000000003</c:v>
              </c:pt>
              <c:pt idx="278">
                <c:v>89.9</c:v>
              </c:pt>
              <c:pt idx="279">
                <c:v>89.9</c:v>
              </c:pt>
              <c:pt idx="280">
                <c:v>89.9</c:v>
              </c:pt>
              <c:pt idx="281">
                <c:v>90.602000000000004</c:v>
              </c:pt>
              <c:pt idx="282">
                <c:v>90.602000000000004</c:v>
              </c:pt>
              <c:pt idx="283">
                <c:v>90.602000000000004</c:v>
              </c:pt>
              <c:pt idx="284">
                <c:v>91.304000000000002</c:v>
              </c:pt>
              <c:pt idx="285">
                <c:v>91.304000000000002</c:v>
              </c:pt>
              <c:pt idx="286">
                <c:v>91.304000000000002</c:v>
              </c:pt>
              <c:pt idx="287">
                <c:v>92.007000000000005</c:v>
              </c:pt>
              <c:pt idx="288">
                <c:v>92.007000000000005</c:v>
              </c:pt>
              <c:pt idx="289">
                <c:v>92.007000000000005</c:v>
              </c:pt>
              <c:pt idx="290">
                <c:v>92.709000000000003</c:v>
              </c:pt>
              <c:pt idx="291">
                <c:v>92.709000000000003</c:v>
              </c:pt>
              <c:pt idx="292">
                <c:v>93.411000000000001</c:v>
              </c:pt>
              <c:pt idx="293">
                <c:v>94.114000000000004</c:v>
              </c:pt>
              <c:pt idx="294">
                <c:v>94.114000000000004</c:v>
              </c:pt>
              <c:pt idx="295">
                <c:v>94.816000000000003</c:v>
              </c:pt>
              <c:pt idx="296">
                <c:v>95.518000000000001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8D-488D-8304-6F656EF16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3045472"/>
        <c:axId val="1353046432"/>
      </c:scatterChart>
      <c:valAx>
        <c:axId val="1353045472"/>
        <c:scaling>
          <c:orientation val="minMax"/>
          <c:max val="45292"/>
          <c:min val="4492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[$-40C]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53046432"/>
        <c:crosses val="autoZero"/>
        <c:crossBetween val="midCat"/>
      </c:valAx>
      <c:valAx>
        <c:axId val="135304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53045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142875</xdr:rowOff>
        </xdr:from>
        <xdr:to>
          <xdr:col>2</xdr:col>
          <xdr:colOff>2247900</xdr:colOff>
          <xdr:row>17</xdr:row>
          <xdr:rowOff>66675</xdr:rowOff>
        </xdr:to>
        <xdr:sp macro="" textlink="">
          <xdr:nvSpPr>
            <xdr:cNvPr id="1032" name="Compute_outpu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374491</xdr:colOff>
      <xdr:row>26</xdr:row>
      <xdr:rowOff>159122</xdr:rowOff>
    </xdr:from>
    <xdr:to>
      <xdr:col>5</xdr:col>
      <xdr:colOff>828834</xdr:colOff>
      <xdr:row>29</xdr:row>
      <xdr:rowOff>943622</xdr:rowOff>
    </xdr:to>
    <xdr:graphicFrame macro="">
      <xdr:nvGraphicFramePr>
        <xdr:cNvPr id="8" name="Option Price">
          <a:extLst>
            <a:ext uri="{FF2B5EF4-FFF2-40B4-BE49-F238E27FC236}">
              <a16:creationId xmlns:a16="http://schemas.microsoft.com/office/drawing/2014/main" id="{23E4256F-571C-82D1-94A0-CC2A2DACAC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8780</xdr:colOff>
      <xdr:row>26</xdr:row>
      <xdr:rowOff>149718</xdr:rowOff>
    </xdr:from>
    <xdr:to>
      <xdr:col>12</xdr:col>
      <xdr:colOff>646280</xdr:colOff>
      <xdr:row>29</xdr:row>
      <xdr:rowOff>934218</xdr:rowOff>
    </xdr:to>
    <xdr:graphicFrame macro="">
      <xdr:nvGraphicFramePr>
        <xdr:cNvPr id="11" name="Delta">
          <a:extLst>
            <a:ext uri="{FF2B5EF4-FFF2-40B4-BE49-F238E27FC236}">
              <a16:creationId xmlns:a16="http://schemas.microsoft.com/office/drawing/2014/main" id="{C83274FB-1AD5-9E88-633C-55E34CAD5F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13</xdr:col>
      <xdr:colOff>647376</xdr:colOff>
      <xdr:row>26</xdr:row>
      <xdr:rowOff>108307</xdr:rowOff>
    </xdr:from>
    <xdr:to>
      <xdr:col>19</xdr:col>
      <xdr:colOff>332376</xdr:colOff>
      <xdr:row>29</xdr:row>
      <xdr:rowOff>892807</xdr:rowOff>
    </xdr:to>
    <xdr:graphicFrame macro="">
      <xdr:nvGraphicFramePr>
        <xdr:cNvPr id="12" name="Exercice boundary">
          <a:extLst>
            <a:ext uri="{FF2B5EF4-FFF2-40B4-BE49-F238E27FC236}">
              <a16:creationId xmlns:a16="http://schemas.microsoft.com/office/drawing/2014/main" id="{7BC75492-7994-C6AD-B2A4-93E66D65EE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U33"/>
  <sheetViews>
    <sheetView showGridLines="0" tabSelected="1" zoomScale="115" zoomScaleNormal="115" workbookViewId="0">
      <selection activeCell="L25" sqref="L25"/>
    </sheetView>
  </sheetViews>
  <sheetFormatPr baseColWidth="10" defaultColWidth="9.140625" defaultRowHeight="15" x14ac:dyDescent="0.25"/>
  <cols>
    <col min="1" max="1" width="2.7109375" style="1" customWidth="1"/>
    <col min="2" max="2" width="4.140625" style="1" customWidth="1"/>
    <col min="3" max="3" width="35.5703125" style="1" bestFit="1" customWidth="1"/>
    <col min="4" max="4" width="24.140625" style="1" customWidth="1"/>
    <col min="5" max="20" width="14.28515625" style="1" customWidth="1"/>
    <col min="21" max="21" width="1.7109375" style="1" customWidth="1"/>
    <col min="22" max="16384" width="9.140625" style="1"/>
  </cols>
  <sheetData>
    <row r="1" spans="2:21" ht="13.5" customHeight="1" thickBot="1" x14ac:dyDescent="0.3"/>
    <row r="2" spans="2:21" ht="30.75" customHeight="1" x14ac:dyDescent="0.25">
      <c r="B2" s="43" t="s">
        <v>2</v>
      </c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5"/>
    </row>
    <row r="3" spans="2:21" ht="21" x14ac:dyDescent="0.35">
      <c r="B3" s="41" t="s">
        <v>0</v>
      </c>
      <c r="C3" s="42"/>
      <c r="D3" s="42"/>
      <c r="E3" s="5"/>
      <c r="F3" s="5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7"/>
    </row>
    <row r="4" spans="2:21" x14ac:dyDescent="0.25">
      <c r="B4" s="8" t="s">
        <v>4</v>
      </c>
      <c r="C4" s="9" t="s">
        <v>1</v>
      </c>
      <c r="D4" s="25" t="s">
        <v>27</v>
      </c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 s="4"/>
    </row>
    <row r="5" spans="2:21" x14ac:dyDescent="0.25">
      <c r="B5" s="8" t="s">
        <v>5</v>
      </c>
      <c r="C5" s="9" t="s">
        <v>3</v>
      </c>
      <c r="D5" s="25" t="s">
        <v>26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 s="4"/>
    </row>
    <row r="6" spans="2:21" x14ac:dyDescent="0.25">
      <c r="B6" s="8" t="s">
        <v>6</v>
      </c>
      <c r="C6" s="9" t="s">
        <v>17</v>
      </c>
      <c r="D6" s="36">
        <v>45292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 s="4"/>
    </row>
    <row r="7" spans="2:21" x14ac:dyDescent="0.25">
      <c r="B7" s="8" t="s">
        <v>7</v>
      </c>
      <c r="C7" s="9" t="s">
        <v>18</v>
      </c>
      <c r="D7" s="26">
        <v>100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 s="4"/>
    </row>
    <row r="8" spans="2:21" x14ac:dyDescent="0.25">
      <c r="B8" s="8" t="s">
        <v>8</v>
      </c>
      <c r="C8" s="9" t="s">
        <v>19</v>
      </c>
      <c r="D8" s="36">
        <v>44927</v>
      </c>
      <c r="E8" s="36"/>
      <c r="F8" s="27"/>
      <c r="G8"/>
      <c r="H8"/>
      <c r="I8"/>
      <c r="J8"/>
      <c r="K8"/>
      <c r="L8"/>
      <c r="M8"/>
      <c r="N8"/>
      <c r="O8"/>
      <c r="P8"/>
      <c r="Q8"/>
      <c r="R8"/>
      <c r="S8"/>
      <c r="T8"/>
      <c r="U8" s="4"/>
    </row>
    <row r="9" spans="2:21" x14ac:dyDescent="0.25">
      <c r="B9" s="8" t="s">
        <v>9</v>
      </c>
      <c r="C9" s="9" t="s">
        <v>14</v>
      </c>
      <c r="D9" s="28">
        <v>300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 s="4"/>
    </row>
    <row r="10" spans="2:21" x14ac:dyDescent="0.25">
      <c r="B10" s="8" t="s">
        <v>10</v>
      </c>
      <c r="C10" s="9" t="s">
        <v>15</v>
      </c>
      <c r="D10" s="29">
        <v>300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 s="4"/>
    </row>
    <row r="11" spans="2:21" x14ac:dyDescent="0.25">
      <c r="B11" s="8" t="s">
        <v>11</v>
      </c>
      <c r="C11" s="9" t="s">
        <v>20</v>
      </c>
      <c r="D11" s="26">
        <v>100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 s="4"/>
    </row>
    <row r="12" spans="2:21" x14ac:dyDescent="0.25">
      <c r="B12" s="46" t="s">
        <v>12</v>
      </c>
      <c r="C12" s="47" t="s">
        <v>24</v>
      </c>
      <c r="D12" s="2" t="s">
        <v>16</v>
      </c>
      <c r="E12" s="38">
        <v>44942</v>
      </c>
      <c r="F12" s="38">
        <v>44949</v>
      </c>
      <c r="G12" s="38">
        <v>44956</v>
      </c>
      <c r="H12" s="38">
        <v>44963</v>
      </c>
      <c r="I12" s="38">
        <v>44970</v>
      </c>
      <c r="J12" s="38">
        <v>44977</v>
      </c>
      <c r="K12" s="38">
        <v>44984</v>
      </c>
      <c r="L12" s="38">
        <v>44991</v>
      </c>
      <c r="M12" s="38">
        <v>44998</v>
      </c>
      <c r="N12" s="38">
        <v>45005</v>
      </c>
      <c r="O12" s="38">
        <v>45012</v>
      </c>
      <c r="P12" s="38">
        <v>45019</v>
      </c>
      <c r="Q12" s="38">
        <v>45026</v>
      </c>
      <c r="R12" s="38">
        <v>45033</v>
      </c>
      <c r="S12" s="38"/>
      <c r="T12" s="39"/>
      <c r="U12" s="4"/>
    </row>
    <row r="13" spans="2:21" x14ac:dyDescent="0.25">
      <c r="B13" s="46"/>
      <c r="C13" s="47"/>
      <c r="D13" s="3" t="s">
        <v>23</v>
      </c>
      <c r="E13" s="30">
        <v>2.1160094155768298E-2</v>
      </c>
      <c r="F13" s="30">
        <v>2.1160094155768264E-2</v>
      </c>
      <c r="G13" s="30">
        <v>2.1160094155768264E-2</v>
      </c>
      <c r="H13" s="30">
        <v>2.1160094155768298E-2</v>
      </c>
      <c r="I13" s="30">
        <v>2.1160094155768298E-2</v>
      </c>
      <c r="J13" s="30">
        <v>2.1160094155768298E-2</v>
      </c>
      <c r="K13" s="30">
        <v>2.1160094155768298E-2</v>
      </c>
      <c r="L13" s="30">
        <v>2.1160094155768298E-2</v>
      </c>
      <c r="M13" s="30">
        <v>2.1160094155768298E-2</v>
      </c>
      <c r="N13" s="30">
        <v>2.1160094155768298E-2</v>
      </c>
      <c r="O13" s="30">
        <v>2.1160094155768298E-2</v>
      </c>
      <c r="P13" s="30">
        <v>2.1160094155768298E-2</v>
      </c>
      <c r="Q13" s="30">
        <v>2.1160094155768298E-2</v>
      </c>
      <c r="R13" s="30">
        <v>2.1160094155768298E-2</v>
      </c>
      <c r="S13" s="30"/>
      <c r="T13" s="31"/>
      <c r="U13" s="4"/>
    </row>
    <row r="14" spans="2:21" x14ac:dyDescent="0.25">
      <c r="B14" s="8" t="s">
        <v>13</v>
      </c>
      <c r="C14" s="9" t="s">
        <v>21</v>
      </c>
      <c r="D14" s="33">
        <v>0.2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 s="4"/>
    </row>
    <row r="15" spans="2:21" ht="6.75" customHeight="1" thickBot="1" x14ac:dyDescent="0.3"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2"/>
    </row>
    <row r="16" spans="2:21" ht="15" customHeight="1" x14ac:dyDescent="0.25"/>
    <row r="17" spans="2:21" ht="27.75" customHeight="1" x14ac:dyDescent="0.25"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</row>
    <row r="18" spans="2:21" ht="15" customHeight="1" thickBot="1" x14ac:dyDescent="0.3"/>
    <row r="19" spans="2:21" ht="7.5" customHeight="1" x14ac:dyDescent="0.35">
      <c r="B19" s="21"/>
      <c r="C19" s="22"/>
      <c r="D19" s="22"/>
      <c r="E19" s="22"/>
      <c r="F19" s="22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4"/>
    </row>
    <row r="20" spans="2:21" ht="21" x14ac:dyDescent="0.35">
      <c r="B20" s="48" t="s">
        <v>22</v>
      </c>
      <c r="C20" s="49"/>
      <c r="D20" s="53" t="s">
        <v>25</v>
      </c>
      <c r="E20" s="32"/>
      <c r="F20" s="62" t="s">
        <v>42</v>
      </c>
      <c r="G20" s="54" t="s">
        <v>33</v>
      </c>
      <c r="H20" s="55" t="str">
        <f>"(with r = "&amp; ROUND($E$13*100, 4) &amp; "%)"</f>
        <v>(with r = 2,116%)</v>
      </c>
      <c r="I20" s="58"/>
      <c r="J20" s="58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0"/>
    </row>
    <row r="21" spans="2:21" ht="15" customHeight="1" x14ac:dyDescent="0.25">
      <c r="B21" s="8" t="s">
        <v>4</v>
      </c>
      <c r="C21" s="9" t="s">
        <v>41</v>
      </c>
      <c r="D21" s="37">
        <v>7.0663832850081034</v>
      </c>
      <c r="E21" s="34"/>
      <c r="F21" s="60">
        <f>(H21-D21)/H21</f>
        <v>-2.7208109919089774E-2</v>
      </c>
      <c r="G21" s="56" t="s">
        <v>41</v>
      </c>
      <c r="H21" s="57">
        <f xml:space="preserve"> IF($D$4= "Call", $D$11*_xlfn.NORM.S.DIST(J21,TRUE ) - $D$7*EXP(-$E$13*($D$6-$D$8)/365) * _xlfn.NORM.S.DIST(J22,TRUE), -$D$11*_xlfn.NORM.S.DIST(-J21,TRUE) + $D$7*EXP(-$E$13*($D$6-$D$8)/365) * _xlfn.NORM.S.DIST(-J22,TRUE))</f>
        <v>6.8792129041550325</v>
      </c>
      <c r="I21" s="56" t="s">
        <v>34</v>
      </c>
      <c r="J21" s="61">
        <f xml:space="preserve"> (LOG($D$11/$D$7) + F13*($D$6-$D$8)/365)/($D$14*SQRT(($D$6-$D$8)/365)) + $D$14*SQRT(($D$6-$D$8)/365)/2</f>
        <v>0.20580047077884134</v>
      </c>
      <c r="K21" s="50"/>
      <c r="L21" s="51"/>
      <c r="M21" s="52"/>
      <c r="N21"/>
      <c r="O21"/>
      <c r="P21"/>
      <c r="Q21"/>
      <c r="R21"/>
      <c r="S21"/>
      <c r="T21"/>
      <c r="U21" s="4"/>
    </row>
    <row r="22" spans="2:21" ht="15" customHeight="1" x14ac:dyDescent="0.3">
      <c r="B22" s="8" t="s">
        <v>5</v>
      </c>
      <c r="C22" s="9" t="s">
        <v>28</v>
      </c>
      <c r="D22" s="37">
        <v>-0.4345395899176473</v>
      </c>
      <c r="E22" s="34"/>
      <c r="F22" s="60">
        <f t="shared" ref="F22:F26" si="0">(H22-D22)/H22</f>
        <v>-3.8392413246568086E-2</v>
      </c>
      <c r="G22" s="56" t="s">
        <v>36</v>
      </c>
      <c r="H22" s="57">
        <f xml:space="preserve"> IF(D4 = "Call", _xlfn.NORM.S.DIST(J21,TRUE ),_xlfn.NORM.S.DIST(J21,TRUE )-1)</f>
        <v>-0.41847338672192813</v>
      </c>
      <c r="I22" s="56" t="s">
        <v>35</v>
      </c>
      <c r="J22" s="61">
        <f xml:space="preserve"> J21 - $D$14*SQRT(($D$6-$D$8)/365)</f>
        <v>5.8004707788413268E-3</v>
      </c>
      <c r="K22" s="50"/>
      <c r="L22" s="51"/>
      <c r="M22" s="52"/>
      <c r="N22"/>
      <c r="O22"/>
      <c r="P22"/>
      <c r="Q22"/>
      <c r="R22"/>
      <c r="S22"/>
      <c r="T22"/>
      <c r="U22" s="4"/>
    </row>
    <row r="23" spans="2:21" ht="15" customHeight="1" x14ac:dyDescent="0.3">
      <c r="B23" s="8" t="s">
        <v>6</v>
      </c>
      <c r="C23" s="9" t="s">
        <v>32</v>
      </c>
      <c r="D23" s="37">
        <v>2.0816332340964593E-2</v>
      </c>
      <c r="E23" s="34"/>
      <c r="F23" s="60">
        <f t="shared" si="0"/>
        <v>-6.5911532292848518E-2</v>
      </c>
      <c r="G23" s="56" t="s">
        <v>37</v>
      </c>
      <c r="H23" s="57">
        <f>_xlfn.NORM.S.DIST(J21,FALSE)/ ($D$11*$D$14*($D$6-$D$8)/365)</f>
        <v>1.9529136997126995E-2</v>
      </c>
      <c r="I23" s="57"/>
      <c r="J23" s="59"/>
      <c r="K23" s="50"/>
      <c r="L23" s="51"/>
      <c r="M23" s="52"/>
      <c r="N23"/>
      <c r="O23"/>
      <c r="P23"/>
      <c r="Q23"/>
      <c r="R23"/>
      <c r="S23"/>
      <c r="T23"/>
      <c r="U23" s="4"/>
    </row>
    <row r="24" spans="2:21" ht="15" customHeight="1" x14ac:dyDescent="0.25">
      <c r="B24" s="8" t="s">
        <v>7</v>
      </c>
      <c r="C24" s="9" t="s">
        <v>29</v>
      </c>
      <c r="D24" s="37">
        <v>-3.0974229919546898</v>
      </c>
      <c r="E24" s="34"/>
      <c r="F24" s="60">
        <f t="shared" si="0"/>
        <v>-7.7451097220501558E-2</v>
      </c>
      <c r="G24" s="56" t="s">
        <v>38</v>
      </c>
      <c r="H24" s="57">
        <f>-$D$11* _xlfn.NORM.S.DIST(J21,FALSE)*$D$14/(2*($D$6-$D$8)/365) + IF($D$4 = "Call",-1,1)*$E$13*$D$7*EXP(-$E$13*($D$6-$D$8)/365)*_xlfn.NORM.S.DIST(IF($D$4 = "Call",1,-1)*J22,TRUE)</f>
        <v>-2.8747689801839784</v>
      </c>
      <c r="I24" s="57"/>
      <c r="J24" s="59"/>
      <c r="K24" s="50"/>
      <c r="L24" s="51"/>
      <c r="M24" s="52"/>
      <c r="N24"/>
      <c r="O24"/>
      <c r="P24"/>
      <c r="Q24"/>
      <c r="R24"/>
      <c r="S24"/>
      <c r="T24"/>
      <c r="U24" s="4"/>
    </row>
    <row r="25" spans="2:21" ht="15" customHeight="1" x14ac:dyDescent="0.3">
      <c r="B25" s="8" t="s">
        <v>8</v>
      </c>
      <c r="C25" s="9" t="s">
        <v>30</v>
      </c>
      <c r="D25" s="37">
        <v>-38.031669592131223</v>
      </c>
      <c r="E25" s="34"/>
      <c r="F25" s="60">
        <f t="shared" si="0"/>
        <v>0.22667903125833111</v>
      </c>
      <c r="G25" s="56" t="s">
        <v>39</v>
      </c>
      <c r="H25" s="57">
        <f xml:space="preserve"> $D$7*EXP(-$E$13*($D$6-$D$8)/365)*($D$6-$D$8)/365 * _xlfn.NORM.S.DIST(J22,TRUE) * IF($D$4="Call",1,-1)</f>
        <v>-49.179669412062538</v>
      </c>
      <c r="I25" s="57"/>
      <c r="J25" s="59"/>
      <c r="K25" s="50"/>
      <c r="L25" s="51"/>
      <c r="M25" s="52"/>
      <c r="N25"/>
      <c r="O25"/>
      <c r="P25"/>
      <c r="Q25"/>
      <c r="R25"/>
      <c r="S25"/>
      <c r="T25"/>
      <c r="U25" s="4"/>
    </row>
    <row r="26" spans="2:21" ht="15" customHeight="1" x14ac:dyDescent="0.3">
      <c r="B26" s="8" t="s">
        <v>9</v>
      </c>
      <c r="C26" s="9" t="s">
        <v>31</v>
      </c>
      <c r="D26" s="37">
        <v>38.984712056713278</v>
      </c>
      <c r="E26" s="34"/>
      <c r="F26" s="60">
        <f t="shared" si="0"/>
        <v>1.8833893569268243E-3</v>
      </c>
      <c r="G26" s="56" t="s">
        <v>40</v>
      </c>
      <c r="H26" s="57">
        <f>$D$11*SQRT(($D$6-$D$8)/365)*_xlfn.NORM.S.DIST(J21,FALSE)</f>
        <v>39.058273994253987</v>
      </c>
      <c r="I26" s="57"/>
      <c r="J26" s="59"/>
      <c r="K26" s="50"/>
      <c r="L26" s="51"/>
      <c r="M26" s="52"/>
      <c r="N26"/>
      <c r="O26"/>
      <c r="P26"/>
      <c r="Q26"/>
      <c r="R26"/>
      <c r="S26"/>
      <c r="T26"/>
      <c r="U26" s="4"/>
    </row>
    <row r="27" spans="2:21" x14ac:dyDescent="0.25"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5"/>
    </row>
    <row r="28" spans="2:21" ht="75" customHeight="1" x14ac:dyDescent="0.25"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5"/>
    </row>
    <row r="29" spans="2:21" ht="75" customHeight="1" x14ac:dyDescent="0.25"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5"/>
    </row>
    <row r="30" spans="2:21" ht="75" customHeight="1" x14ac:dyDescent="0.25"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5"/>
    </row>
    <row r="31" spans="2:21" ht="15.75" thickBot="1" x14ac:dyDescent="0.3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8"/>
    </row>
    <row r="33" spans="5:6" x14ac:dyDescent="0.25">
      <c r="E33" s="40"/>
      <c r="F33" s="40"/>
    </row>
  </sheetData>
  <sheetProtection insertColumns="0" deleteColumns="0"/>
  <mergeCells count="6">
    <mergeCell ref="E33:F33"/>
    <mergeCell ref="B20:C20"/>
    <mergeCell ref="B3:D3"/>
    <mergeCell ref="B2:U2"/>
    <mergeCell ref="B12:B13"/>
    <mergeCell ref="C12:C13"/>
  </mergeCells>
  <dataValidations count="6">
    <dataValidation type="list" allowBlank="1" showInputMessage="1" showErrorMessage="1" sqref="D4" xr:uid="{E082EEFE-F5C7-4922-9934-0E3073FF3B43}">
      <formula1>"Call, Put"</formula1>
    </dataValidation>
    <dataValidation type="list" allowBlank="1" showInputMessage="1" showErrorMessage="1" sqref="D5" xr:uid="{0549550B-C2D9-48E0-A502-86B259C596AA}">
      <formula1>"European, American"</formula1>
    </dataValidation>
    <dataValidation type="decimal" allowBlank="1" showInputMessage="1" showErrorMessage="1" sqref="D7" xr:uid="{72344CBF-10C5-46A7-B89C-FEC98511D456}">
      <formula1>0</formula1>
      <formula2>1000000000000</formula2>
    </dataValidation>
    <dataValidation type="date" allowBlank="1" showInputMessage="1" showErrorMessage="1" sqref="D8:F8 E12:R12 D6" xr:uid="{89C70CD0-7935-4034-ABCF-6A3AC20CEEE8}">
      <formula1>36526</formula1>
      <formula2>91677</formula2>
    </dataValidation>
    <dataValidation type="whole" allowBlank="1" showInputMessage="1" showErrorMessage="1" sqref="D9:D10" xr:uid="{FA3FB5C5-92B8-48E6-B4D6-C5D4FD5855BE}">
      <formula1>1</formula1>
      <formula2>500</formula2>
    </dataValidation>
    <dataValidation type="decimal" allowBlank="1" showInputMessage="1" showErrorMessage="1" sqref="D11" xr:uid="{D6793B7E-3553-44A8-ACE6-73D399FDE17A}">
      <formula1>0</formula1>
      <formula2>1000000000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pute_output">
          <controlPr defaultSize="0" autoLine="0" autoPict="0" r:id="rId5">
            <anchor moveWithCells="1">
              <from>
                <xdr:col>2</xdr:col>
                <xdr:colOff>66675</xdr:colOff>
                <xdr:row>15</xdr:row>
                <xdr:rowOff>142875</xdr:rowOff>
              </from>
              <to>
                <xdr:col>2</xdr:col>
                <xdr:colOff>2247900</xdr:colOff>
                <xdr:row>17</xdr:row>
                <xdr:rowOff>66675</xdr:rowOff>
              </to>
            </anchor>
          </controlPr>
        </control>
      </mc:Choice>
      <mc:Fallback>
        <control shapeId="1032" r:id="rId4" name="Compute_outpu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Njonze</dc:creator>
  <cp:lastModifiedBy>bill njonze</cp:lastModifiedBy>
  <dcterms:created xsi:type="dcterms:W3CDTF">2015-06-05T18:19:34Z</dcterms:created>
  <dcterms:modified xsi:type="dcterms:W3CDTF">2024-12-06T20:33:08Z</dcterms:modified>
</cp:coreProperties>
</file>